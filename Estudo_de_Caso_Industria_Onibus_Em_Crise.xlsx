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s de Ônibus" sheetId="1" state="visible" r:id="rId1"/>
    <sheet xmlns:r="http://schemas.openxmlformats.org/officeDocument/2006/relationships" name="Pedidos por Mês" sheetId="2" state="visible" r:id="rId2"/>
    <sheet xmlns:r="http://schemas.openxmlformats.org/officeDocument/2006/relationships" name="Linha de Montagem" sheetId="3" state="visible" r:id="rId3"/>
    <sheet xmlns:r="http://schemas.openxmlformats.org/officeDocument/2006/relationships" name="Catálogo de Peças" sheetId="4" state="visible" r:id="rId4"/>
    <sheet xmlns:r="http://schemas.openxmlformats.org/officeDocument/2006/relationships" name="Lista de Materiais (BOM)" sheetId="5" state="visible" r:id="rId5"/>
    <sheet xmlns:r="http://schemas.openxmlformats.org/officeDocument/2006/relationships" name="Folha e Absenteísmo" sheetId="6" state="visible" r:id="rId6"/>
    <sheet xmlns:r="http://schemas.openxmlformats.org/officeDocument/2006/relationships" name="Dividendos e Passiv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 &quot;m&quot;"/>
    <numFmt numFmtId="165" formatCode="R$ #,##0.00"/>
    <numFmt numFmtId="166" formatCode="0.0%"/>
    <numFmt numFmtId="167" formatCode="0.0 &quot;h&quot;"/>
    <numFmt numFmtId="168" formatCode="0.00 &quot;h&quot;"/>
  </numFmts>
  <fonts count="6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475569"/>
      <sz val="10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5" fillId="0" borderId="0" applyAlignment="1" pivotButton="0" quotePrefix="0" xfId="0">
      <alignment horizontal="right"/>
    </xf>
    <xf numFmtId="165" fontId="5" fillId="0" borderId="2" pivotButton="0" quotePrefix="0" xfId="0"/>
    <xf numFmtId="167" fontId="3" fillId="0" borderId="1" pivotButton="0" quotePrefix="0" xfId="0"/>
    <xf numFmtId="168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2" customWidth="1" min="1" max="1"/>
    <col width="37" customWidth="1" min="2" max="2"/>
    <col width="29" customWidth="1" min="3" max="3"/>
    <col width="33" customWidth="1" min="4" max="4"/>
    <col width="18" customWidth="1" min="5" max="5"/>
    <col width="17" customWidth="1" min="6" max="6"/>
    <col width="30" customWidth="1" min="7" max="7"/>
    <col width="29" customWidth="1" min="8" max="8"/>
    <col width="21" customWidth="1" min="9" max="9"/>
  </cols>
  <sheetData>
    <row r="1">
      <c r="A1" s="1" t="inlineStr">
        <is>
          <t>Catálogo de Modelos e Categorias de Ônibus - Caxias Heavy Industries</t>
        </is>
      </c>
    </row>
    <row r="2">
      <c r="A2" s="2" t="inlineStr">
        <is>
          <t>Portfólio de veículos montados, capacidades e especificações técnicas</t>
        </is>
      </c>
    </row>
    <row r="3"/>
    <row r="4">
      <c r="A4" s="3" t="inlineStr">
        <is>
          <t>Código Modelo</t>
        </is>
      </c>
      <c r="B4" s="3" t="inlineStr">
        <is>
          <t>Nome do Modelo</t>
        </is>
      </c>
      <c r="C4" s="3" t="inlineStr">
        <is>
          <t>Categoria / Segmento</t>
        </is>
      </c>
      <c r="D4" s="3" t="inlineStr">
        <is>
          <t>Chassi Base</t>
        </is>
      </c>
      <c r="E4" s="3" t="inlineStr">
        <is>
          <t>Comprimento (m)</t>
        </is>
      </c>
      <c r="F4" s="3" t="inlineStr">
        <is>
          <t>Capacidade Pax</t>
        </is>
      </c>
      <c r="G4" s="3" t="inlineStr">
        <is>
          <t>Custo Estimado Direto (BRL)</t>
        </is>
      </c>
      <c r="H4" s="3" t="inlineStr">
        <is>
          <t>Preço Médio de Venda (BRL)</t>
        </is>
      </c>
      <c r="I4" s="3" t="inlineStr">
        <is>
          <t>Margem Teórica (%)</t>
        </is>
      </c>
    </row>
    <row r="5">
      <c r="A5" s="4" t="inlineStr">
        <is>
          <t>BUS-URB-12M</t>
        </is>
      </c>
      <c r="B5" s="5" t="inlineStr">
        <is>
          <t>Urbano Standard 12m</t>
        </is>
      </c>
      <c r="C5" s="5" t="inlineStr">
        <is>
          <t>Urbano / Metropolitano</t>
        </is>
      </c>
      <c r="D5" s="5" t="inlineStr">
        <is>
          <t>Volvo B250R / Mercedes OF-1721</t>
        </is>
      </c>
      <c r="E5" s="6" t="n">
        <v>12.5</v>
      </c>
      <c r="F5" s="7" t="n">
        <v>45</v>
      </c>
      <c r="G5" s="8" t="n">
        <v>420000</v>
      </c>
      <c r="H5" s="8" t="n">
        <v>580000</v>
      </c>
      <c r="I5" s="9">
        <f>(H5-G5)/H5</f>
        <v/>
      </c>
    </row>
    <row r="6">
      <c r="A6" s="4" t="inlineStr">
        <is>
          <t>BUS-URB-ART</t>
        </is>
      </c>
      <c r="B6" s="5" t="inlineStr">
        <is>
          <t>Urbano Articulado 18m</t>
        </is>
      </c>
      <c r="C6" s="5" t="inlineStr">
        <is>
          <t>BRT / Alta Captação</t>
        </is>
      </c>
      <c r="D6" s="5" t="inlineStr">
        <is>
          <t>Volvo B340M Articulado</t>
        </is>
      </c>
      <c r="E6" s="6" t="n">
        <v>18.6</v>
      </c>
      <c r="F6" s="7" t="n">
        <v>120</v>
      </c>
      <c r="G6" s="8" t="n">
        <v>850000</v>
      </c>
      <c r="H6" s="8" t="n">
        <v>1180000</v>
      </c>
      <c r="I6" s="9">
        <f>(H6-G6)/H6</f>
        <v/>
      </c>
    </row>
    <row r="7">
      <c r="A7" s="4" t="inlineStr">
        <is>
          <t>BUS-ROD-14M</t>
        </is>
      </c>
      <c r="B7" s="5" t="inlineStr">
        <is>
          <t>Rodoviário Premium DD 14m</t>
        </is>
      </c>
      <c r="C7" s="5" t="inlineStr">
        <is>
          <t>Rodoviário / Interestadual</t>
        </is>
      </c>
      <c r="D7" s="5" t="inlineStr">
        <is>
          <t>Scania K410 / Volvo B450R</t>
        </is>
      </c>
      <c r="E7" s="6" t="n">
        <v>14</v>
      </c>
      <c r="F7" s="7" t="n">
        <v>56</v>
      </c>
      <c r="G7" s="8" t="n">
        <v>920000</v>
      </c>
      <c r="H7" s="8" t="n">
        <v>1350000</v>
      </c>
      <c r="I7" s="9">
        <f>(H7-G7)/H7</f>
        <v/>
      </c>
    </row>
    <row r="8">
      <c r="A8" s="4" t="inlineStr">
        <is>
          <t>BUS-MIC-09M</t>
        </is>
      </c>
      <c r="B8" s="5" t="inlineStr">
        <is>
          <t>Micro-ônibus Executivo 9m</t>
        </is>
      </c>
      <c r="C8" s="5" t="inlineStr">
        <is>
          <t>Fretamento / Escolar</t>
        </is>
      </c>
      <c r="D8" s="5" t="inlineStr">
        <is>
          <t>Agrale MA 10.0 / VW 9.160</t>
        </is>
      </c>
      <c r="E8" s="6" t="n">
        <v>9.199999999999999</v>
      </c>
      <c r="F8" s="7" t="n">
        <v>28</v>
      </c>
      <c r="G8" s="8" t="n">
        <v>280000</v>
      </c>
      <c r="H8" s="8" t="n">
        <v>390000</v>
      </c>
      <c r="I8" s="9">
        <f>(H8-G8)/H8</f>
        <v/>
      </c>
    </row>
    <row r="9">
      <c r="A9" s="4" t="inlineStr">
        <is>
          <t>BUS-ELE-12M</t>
        </is>
      </c>
      <c r="B9" s="5" t="inlineStr">
        <is>
          <t>Urbano Elétrico 12m (Zero Emissão)</t>
        </is>
      </c>
      <c r="C9" s="5" t="inlineStr">
        <is>
          <t>Urbano Sustentável</t>
        </is>
      </c>
      <c r="D9" s="5" t="inlineStr">
        <is>
          <t>BYD D9W / Mercedes eO500U</t>
        </is>
      </c>
      <c r="E9" s="6" t="n">
        <v>12.2</v>
      </c>
      <c r="F9" s="7" t="n">
        <v>40</v>
      </c>
      <c r="G9" s="8" t="n">
        <v>1450000</v>
      </c>
      <c r="H9" s="8" t="n">
        <v>1980000</v>
      </c>
      <c r="I9" s="9">
        <f>(H9-G9)/H9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20" customWidth="1" min="3" max="3"/>
    <col width="31" customWidth="1" min="4" max="4"/>
    <col width="29" customWidth="1" min="5" max="5"/>
    <col width="34" customWidth="1" min="6" max="6"/>
    <col width="22" customWidth="1" min="7" max="7"/>
  </cols>
  <sheetData>
    <row r="1">
      <c r="A1" s="1" t="inlineStr">
        <is>
          <t>Histórico Mensal de Pedidos e Carteira de Vendas (Últimos 12 Meses)</t>
        </is>
      </c>
    </row>
    <row r="2">
      <c r="A2" s="2" t="inlineStr">
        <is>
          <t>Volume de encomendas, carteira faturada e valor médio acumulado</t>
        </is>
      </c>
    </row>
    <row r="3"/>
    <row r="4">
      <c r="A4" s="3" t="inlineStr">
        <is>
          <t>Ano/Mês</t>
        </is>
      </c>
      <c r="B4" s="3" t="inlineStr">
        <is>
          <t>Mês</t>
        </is>
      </c>
      <c r="C4" s="3" t="inlineStr">
        <is>
          <t>Modelo Solicitado</t>
        </is>
      </c>
      <c r="D4" s="3" t="inlineStr">
        <is>
          <t>Quantidade Pedida (Unidades)</t>
        </is>
      </c>
      <c r="E4" s="3" t="inlineStr">
        <is>
          <t>Valor Médio Unitário (BRL)</t>
        </is>
      </c>
      <c r="F4" s="3" t="inlineStr">
        <is>
          <t>Valor Total Bruto Pedidos (BRL)</t>
        </is>
      </c>
      <c r="G4" s="3" t="inlineStr">
        <is>
          <t>Status da Carteira</t>
        </is>
      </c>
    </row>
    <row r="5">
      <c r="A5" s="4" t="inlineStr">
        <is>
          <t>2025/2026</t>
        </is>
      </c>
      <c r="B5" s="4" t="inlineStr">
        <is>
          <t>Nov/25</t>
        </is>
      </c>
      <c r="C5" s="4" t="inlineStr">
        <is>
          <t>BUS-MIC-09M</t>
        </is>
      </c>
      <c r="D5" s="7" t="n">
        <v>3</v>
      </c>
      <c r="E5" s="8" t="n">
        <v>407101.1</v>
      </c>
      <c r="F5" s="8">
        <f>D5*E5</f>
        <v/>
      </c>
      <c r="G5" s="5" t="inlineStr">
        <is>
          <t>Entregue</t>
        </is>
      </c>
    </row>
    <row r="6">
      <c r="A6" s="4" t="inlineStr">
        <is>
          <t>2025/2026</t>
        </is>
      </c>
      <c r="B6" s="4" t="inlineStr">
        <is>
          <t>Nov/25</t>
        </is>
      </c>
      <c r="C6" s="4" t="inlineStr">
        <is>
          <t>BUS-MIC-09M</t>
        </is>
      </c>
      <c r="D6" s="7" t="n">
        <v>17</v>
      </c>
      <c r="E6" s="8" t="n">
        <v>385879.42</v>
      </c>
      <c r="F6" s="8">
        <f>D6*E6</f>
        <v/>
      </c>
      <c r="G6" s="5" t="inlineStr">
        <is>
          <t>Entregue</t>
        </is>
      </c>
    </row>
    <row r="7">
      <c r="A7" s="4" t="inlineStr">
        <is>
          <t>2025/2026</t>
        </is>
      </c>
      <c r="B7" s="4" t="inlineStr">
        <is>
          <t>Nov/25</t>
        </is>
      </c>
      <c r="C7" s="4" t="inlineStr">
        <is>
          <t>BUS-URB-12M</t>
        </is>
      </c>
      <c r="D7" s="7" t="n">
        <v>6</v>
      </c>
      <c r="E7" s="8" t="n">
        <v>577117.61</v>
      </c>
      <c r="F7" s="8">
        <f>D7*E7</f>
        <v/>
      </c>
      <c r="G7" s="5" t="inlineStr">
        <is>
          <t>Entregue</t>
        </is>
      </c>
    </row>
    <row r="8">
      <c r="A8" s="4" t="inlineStr">
        <is>
          <t>2025/2026</t>
        </is>
      </c>
      <c r="B8" s="4" t="inlineStr">
        <is>
          <t>Nov/25</t>
        </is>
      </c>
      <c r="C8" s="4" t="inlineStr">
        <is>
          <t>BUS-ELE-12M</t>
        </is>
      </c>
      <c r="D8" s="7" t="n">
        <v>5</v>
      </c>
      <c r="E8" s="8" t="n">
        <v>1870490.29</v>
      </c>
      <c r="F8" s="8">
        <f>D8*E8</f>
        <v/>
      </c>
      <c r="G8" s="5" t="inlineStr">
        <is>
          <t>Entregue</t>
        </is>
      </c>
    </row>
    <row r="9">
      <c r="A9" s="4" t="inlineStr">
        <is>
          <t>2025/2026</t>
        </is>
      </c>
      <c r="B9" s="4" t="inlineStr">
        <is>
          <t>Dez/25</t>
        </is>
      </c>
      <c r="C9" s="4" t="inlineStr">
        <is>
          <t>BUS-ELE-12M</t>
        </is>
      </c>
      <c r="D9" s="7" t="n">
        <v>6</v>
      </c>
      <c r="E9" s="8" t="n">
        <v>2034122.98</v>
      </c>
      <c r="F9" s="8">
        <f>D9*E9</f>
        <v/>
      </c>
      <c r="G9" s="5" t="inlineStr">
        <is>
          <t>Entregue</t>
        </is>
      </c>
    </row>
    <row r="10">
      <c r="A10" s="4" t="inlineStr">
        <is>
          <t>2025/2026</t>
        </is>
      </c>
      <c r="B10" s="4" t="inlineStr">
        <is>
          <t>Dez/25</t>
        </is>
      </c>
      <c r="C10" s="4" t="inlineStr">
        <is>
          <t>BUS-MIC-09M</t>
        </is>
      </c>
      <c r="D10" s="7" t="n">
        <v>17</v>
      </c>
      <c r="E10" s="8" t="n">
        <v>388724.73</v>
      </c>
      <c r="F10" s="8">
        <f>D10*E10</f>
        <v/>
      </c>
      <c r="G10" s="5" t="inlineStr">
        <is>
          <t>Entregue</t>
        </is>
      </c>
    </row>
    <row r="11">
      <c r="A11" s="4" t="inlineStr">
        <is>
          <t>2025/2026</t>
        </is>
      </c>
      <c r="B11" s="4" t="inlineStr">
        <is>
          <t>Dez/25</t>
        </is>
      </c>
      <c r="C11" s="4" t="inlineStr">
        <is>
          <t>BUS-MIC-09M</t>
        </is>
      </c>
      <c r="D11" s="7" t="n">
        <v>15</v>
      </c>
      <c r="E11" s="8" t="n">
        <v>388269.76</v>
      </c>
      <c r="F11" s="8">
        <f>D11*E11</f>
        <v/>
      </c>
      <c r="G11" s="5" t="inlineStr">
        <is>
          <t>Entregue</t>
        </is>
      </c>
    </row>
    <row r="12">
      <c r="A12" s="4" t="inlineStr">
        <is>
          <t>2025/2026</t>
        </is>
      </c>
      <c r="B12" s="4" t="inlineStr">
        <is>
          <t>Dez/25</t>
        </is>
      </c>
      <c r="C12" s="4" t="inlineStr">
        <is>
          <t>BUS-ROD-14M</t>
        </is>
      </c>
      <c r="D12" s="7" t="n">
        <v>5</v>
      </c>
      <c r="E12" s="8" t="n">
        <v>1413623.54</v>
      </c>
      <c r="F12" s="8">
        <f>D12*E12</f>
        <v/>
      </c>
      <c r="G12" s="5" t="inlineStr">
        <is>
          <t>Entregue</t>
        </is>
      </c>
    </row>
    <row r="13">
      <c r="A13" s="4" t="inlineStr">
        <is>
          <t>2025/2026</t>
        </is>
      </c>
      <c r="B13" s="4" t="inlineStr">
        <is>
          <t>Jan/26</t>
        </is>
      </c>
      <c r="C13" s="4" t="inlineStr">
        <is>
          <t>BUS-ROD-14M</t>
        </is>
      </c>
      <c r="D13" s="7" t="n">
        <v>5</v>
      </c>
      <c r="E13" s="8" t="n">
        <v>1317973.34</v>
      </c>
      <c r="F13" s="8">
        <f>D13*E13</f>
        <v/>
      </c>
      <c r="G13" s="5" t="inlineStr">
        <is>
          <t>Entregue</t>
        </is>
      </c>
    </row>
    <row r="14">
      <c r="A14" s="4" t="inlineStr">
        <is>
          <t>2025/2026</t>
        </is>
      </c>
      <c r="B14" s="4" t="inlineStr">
        <is>
          <t>Jan/26</t>
        </is>
      </c>
      <c r="C14" s="4" t="inlineStr">
        <is>
          <t>BUS-URB-12M</t>
        </is>
      </c>
      <c r="D14" s="7" t="n">
        <v>11</v>
      </c>
      <c r="E14" s="8" t="n">
        <v>543995.34</v>
      </c>
      <c r="F14" s="8">
        <f>D14*E14</f>
        <v/>
      </c>
      <c r="G14" s="5" t="inlineStr">
        <is>
          <t>Entregue</t>
        </is>
      </c>
    </row>
    <row r="15">
      <c r="A15" s="4" t="inlineStr">
        <is>
          <t>2025/2026</t>
        </is>
      </c>
      <c r="B15" s="4" t="inlineStr">
        <is>
          <t>Jan/26</t>
        </is>
      </c>
      <c r="C15" s="4" t="inlineStr">
        <is>
          <t>BUS-URB-12M</t>
        </is>
      </c>
      <c r="D15" s="7" t="n">
        <v>16</v>
      </c>
      <c r="E15" s="8" t="n">
        <v>579038.41</v>
      </c>
      <c r="F15" s="8">
        <f>D15*E15</f>
        <v/>
      </c>
      <c r="G15" s="5" t="inlineStr">
        <is>
          <t>Entregue</t>
        </is>
      </c>
    </row>
    <row r="16">
      <c r="A16" s="4" t="inlineStr">
        <is>
          <t>2025/2026</t>
        </is>
      </c>
      <c r="B16" s="4" t="inlineStr">
        <is>
          <t>Jan/26</t>
        </is>
      </c>
      <c r="C16" s="4" t="inlineStr">
        <is>
          <t>BUS-MIC-09M</t>
        </is>
      </c>
      <c r="D16" s="7" t="n">
        <v>14</v>
      </c>
      <c r="E16" s="8" t="n">
        <v>381193.47</v>
      </c>
      <c r="F16" s="8">
        <f>D16*E16</f>
        <v/>
      </c>
      <c r="G16" s="5" t="inlineStr">
        <is>
          <t>Entregue</t>
        </is>
      </c>
    </row>
    <row r="17">
      <c r="A17" s="4" t="inlineStr">
        <is>
          <t>2025/2026</t>
        </is>
      </c>
      <c r="B17" s="4" t="inlineStr">
        <is>
          <t>Fev/26</t>
        </is>
      </c>
      <c r="C17" s="4" t="inlineStr">
        <is>
          <t>BUS-ELE-12M</t>
        </is>
      </c>
      <c r="D17" s="7" t="n">
        <v>1</v>
      </c>
      <c r="E17" s="8" t="n">
        <v>2056645.73</v>
      </c>
      <c r="F17" s="8">
        <f>D17*E17</f>
        <v/>
      </c>
      <c r="G17" s="5" t="inlineStr">
        <is>
          <t>Entregue</t>
        </is>
      </c>
    </row>
    <row r="18">
      <c r="A18" s="4" t="inlineStr">
        <is>
          <t>2025/2026</t>
        </is>
      </c>
      <c r="B18" s="4" t="inlineStr">
        <is>
          <t>Fev/26</t>
        </is>
      </c>
      <c r="C18" s="4" t="inlineStr">
        <is>
          <t>BUS-URB-ART</t>
        </is>
      </c>
      <c r="D18" s="7" t="n">
        <v>5</v>
      </c>
      <c r="E18" s="8" t="n">
        <v>1120061.13</v>
      </c>
      <c r="F18" s="8">
        <f>D18*E18</f>
        <v/>
      </c>
      <c r="G18" s="5" t="inlineStr">
        <is>
          <t>Entregue</t>
        </is>
      </c>
    </row>
    <row r="19">
      <c r="A19" s="4" t="inlineStr">
        <is>
          <t>2025/2026</t>
        </is>
      </c>
      <c r="B19" s="4" t="inlineStr">
        <is>
          <t>Fev/26</t>
        </is>
      </c>
      <c r="C19" s="4" t="inlineStr">
        <is>
          <t>BUS-ELE-12M</t>
        </is>
      </c>
      <c r="D19" s="7" t="n">
        <v>1</v>
      </c>
      <c r="E19" s="8" t="n">
        <v>2044276.69</v>
      </c>
      <c r="F19" s="8">
        <f>D19*E19</f>
        <v/>
      </c>
      <c r="G19" s="5" t="inlineStr">
        <is>
          <t>Entregue</t>
        </is>
      </c>
    </row>
    <row r="20">
      <c r="A20" s="4" t="inlineStr">
        <is>
          <t>2025/2026</t>
        </is>
      </c>
      <c r="B20" s="4" t="inlineStr">
        <is>
          <t>Mar/26</t>
        </is>
      </c>
      <c r="C20" s="4" t="inlineStr">
        <is>
          <t>BUS-URB-ART</t>
        </is>
      </c>
      <c r="D20" s="7" t="n">
        <v>1</v>
      </c>
      <c r="E20" s="8" t="n">
        <v>1087930.83</v>
      </c>
      <c r="F20" s="8">
        <f>D20*E20</f>
        <v/>
      </c>
      <c r="G20" s="5" t="inlineStr">
        <is>
          <t>Entregue</t>
        </is>
      </c>
    </row>
    <row r="21">
      <c r="A21" s="4" t="inlineStr">
        <is>
          <t>2025/2026</t>
        </is>
      </c>
      <c r="B21" s="4" t="inlineStr">
        <is>
          <t>Mar/26</t>
        </is>
      </c>
      <c r="C21" s="4" t="inlineStr">
        <is>
          <t>BUS-URB-ART</t>
        </is>
      </c>
      <c r="D21" s="7" t="n">
        <v>6</v>
      </c>
      <c r="E21" s="8" t="n">
        <v>1101376.81</v>
      </c>
      <c r="F21" s="8">
        <f>D21*E21</f>
        <v/>
      </c>
      <c r="G21" s="5" t="inlineStr">
        <is>
          <t>Entregue</t>
        </is>
      </c>
    </row>
    <row r="22">
      <c r="A22" s="4" t="inlineStr">
        <is>
          <t>2025/2026</t>
        </is>
      </c>
      <c r="B22" s="4" t="inlineStr">
        <is>
          <t>Mar/26</t>
        </is>
      </c>
      <c r="C22" s="4" t="inlineStr">
        <is>
          <t>BUS-ELE-12M</t>
        </is>
      </c>
      <c r="D22" s="7" t="n">
        <v>4</v>
      </c>
      <c r="E22" s="8" t="n">
        <v>2044033.6</v>
      </c>
      <c r="F22" s="8">
        <f>D22*E22</f>
        <v/>
      </c>
      <c r="G22" s="5" t="inlineStr">
        <is>
          <t>Entregue</t>
        </is>
      </c>
    </row>
    <row r="23">
      <c r="A23" s="4" t="inlineStr">
        <is>
          <t>2025/2026</t>
        </is>
      </c>
      <c r="B23" s="4" t="inlineStr">
        <is>
          <t>Abr/26</t>
        </is>
      </c>
      <c r="C23" s="4" t="inlineStr">
        <is>
          <t>BUS-ROD-14M</t>
        </is>
      </c>
      <c r="D23" s="7" t="n">
        <v>4</v>
      </c>
      <c r="E23" s="8" t="n">
        <v>1360022.26</v>
      </c>
      <c r="F23" s="8">
        <f>D23*E23</f>
        <v/>
      </c>
      <c r="G23" s="5" t="inlineStr">
        <is>
          <t>Entregue</t>
        </is>
      </c>
    </row>
    <row r="24">
      <c r="A24" s="4" t="inlineStr">
        <is>
          <t>2025/2026</t>
        </is>
      </c>
      <c r="B24" s="4" t="inlineStr">
        <is>
          <t>Abr/26</t>
        </is>
      </c>
      <c r="C24" s="4" t="inlineStr">
        <is>
          <t>BUS-ELE-12M</t>
        </is>
      </c>
      <c r="D24" s="7" t="n">
        <v>4</v>
      </c>
      <c r="E24" s="8" t="n">
        <v>2002132.93</v>
      </c>
      <c r="F24" s="8">
        <f>D24*E24</f>
        <v/>
      </c>
      <c r="G24" s="5" t="inlineStr">
        <is>
          <t>Entregue</t>
        </is>
      </c>
    </row>
    <row r="25">
      <c r="A25" s="4" t="inlineStr">
        <is>
          <t>2025/2026</t>
        </is>
      </c>
      <c r="B25" s="4" t="inlineStr">
        <is>
          <t>Abr/26</t>
        </is>
      </c>
      <c r="C25" s="4" t="inlineStr">
        <is>
          <t>BUS-ROD-14M</t>
        </is>
      </c>
      <c r="D25" s="7" t="n">
        <v>3</v>
      </c>
      <c r="E25" s="8" t="n">
        <v>1361458.95</v>
      </c>
      <c r="F25" s="8">
        <f>D25*E25</f>
        <v/>
      </c>
      <c r="G25" s="5" t="inlineStr">
        <is>
          <t>Entregue</t>
        </is>
      </c>
    </row>
    <row r="26">
      <c r="A26" s="4" t="inlineStr">
        <is>
          <t>2025/2026</t>
        </is>
      </c>
      <c r="B26" s="4" t="inlineStr">
        <is>
          <t>Mai/26</t>
        </is>
      </c>
      <c r="C26" s="4" t="inlineStr">
        <is>
          <t>BUS-URB-ART</t>
        </is>
      </c>
      <c r="D26" s="7" t="n">
        <v>6</v>
      </c>
      <c r="E26" s="8" t="n">
        <v>1222657.89</v>
      </c>
      <c r="F26" s="8">
        <f>D26*E26</f>
        <v/>
      </c>
      <c r="G26" s="5" t="inlineStr">
        <is>
          <t>Entregue</t>
        </is>
      </c>
    </row>
    <row r="27">
      <c r="A27" s="4" t="inlineStr">
        <is>
          <t>2025/2026</t>
        </is>
      </c>
      <c r="B27" s="4" t="inlineStr">
        <is>
          <t>Mai/26</t>
        </is>
      </c>
      <c r="C27" s="4" t="inlineStr">
        <is>
          <t>BUS-ROD-14M</t>
        </is>
      </c>
      <c r="D27" s="7" t="n">
        <v>3</v>
      </c>
      <c r="E27" s="8" t="n">
        <v>1252735.11</v>
      </c>
      <c r="F27" s="8">
        <f>D27*E27</f>
        <v/>
      </c>
      <c r="G27" s="5" t="inlineStr">
        <is>
          <t>Entregue</t>
        </is>
      </c>
    </row>
    <row r="28">
      <c r="A28" s="4" t="inlineStr">
        <is>
          <t>2025/2026</t>
        </is>
      </c>
      <c r="B28" s="4" t="inlineStr">
        <is>
          <t>Mai/26</t>
        </is>
      </c>
      <c r="C28" s="4" t="inlineStr">
        <is>
          <t>BUS-MIC-09M</t>
        </is>
      </c>
      <c r="D28" s="7" t="n">
        <v>13</v>
      </c>
      <c r="E28" s="8" t="n">
        <v>389905.16</v>
      </c>
      <c r="F28" s="8">
        <f>D28*E28</f>
        <v/>
      </c>
      <c r="G28" s="5" t="inlineStr">
        <is>
          <t>Entregue</t>
        </is>
      </c>
    </row>
    <row r="29">
      <c r="A29" s="4" t="inlineStr">
        <is>
          <t>2025/2026</t>
        </is>
      </c>
      <c r="B29" s="4" t="inlineStr">
        <is>
          <t>Jun/26</t>
        </is>
      </c>
      <c r="C29" s="4" t="inlineStr">
        <is>
          <t>BUS-MIC-09M</t>
        </is>
      </c>
      <c r="D29" s="7" t="n">
        <v>14</v>
      </c>
      <c r="E29" s="8" t="n">
        <v>403293.68</v>
      </c>
      <c r="F29" s="8">
        <f>D29*E29</f>
        <v/>
      </c>
      <c r="G29" s="5" t="inlineStr">
        <is>
          <t>Entregue</t>
        </is>
      </c>
    </row>
    <row r="30">
      <c r="A30" s="4" t="inlineStr">
        <is>
          <t>2025/2026</t>
        </is>
      </c>
      <c r="B30" s="4" t="inlineStr">
        <is>
          <t>Jun/26</t>
        </is>
      </c>
      <c r="C30" s="4" t="inlineStr">
        <is>
          <t>BUS-ELE-12M</t>
        </is>
      </c>
      <c r="D30" s="7" t="n">
        <v>7</v>
      </c>
      <c r="E30" s="8" t="n">
        <v>1894991.19</v>
      </c>
      <c r="F30" s="8">
        <f>D30*E30</f>
        <v/>
      </c>
      <c r="G30" s="5" t="inlineStr">
        <is>
          <t>Entregue</t>
        </is>
      </c>
    </row>
    <row r="31">
      <c r="A31" s="4" t="inlineStr">
        <is>
          <t>2025/2026</t>
        </is>
      </c>
      <c r="B31" s="4" t="inlineStr">
        <is>
          <t>Jun/26</t>
        </is>
      </c>
      <c r="C31" s="4" t="inlineStr">
        <is>
          <t>BUS-URB-ART</t>
        </is>
      </c>
      <c r="D31" s="7" t="n">
        <v>5</v>
      </c>
      <c r="E31" s="8" t="n">
        <v>1211767.08</v>
      </c>
      <c r="F31" s="8">
        <f>D31*E31</f>
        <v/>
      </c>
      <c r="G31" s="5" t="inlineStr">
        <is>
          <t>Entregue</t>
        </is>
      </c>
    </row>
    <row r="32">
      <c r="A32" s="4" t="inlineStr">
        <is>
          <t>2025/2026</t>
        </is>
      </c>
      <c r="B32" s="4" t="inlineStr">
        <is>
          <t>Jul/26</t>
        </is>
      </c>
      <c r="C32" s="4" t="inlineStr">
        <is>
          <t>BUS-URB-12M</t>
        </is>
      </c>
      <c r="D32" s="7" t="n">
        <v>9</v>
      </c>
      <c r="E32" s="8" t="n">
        <v>581462.1899999999</v>
      </c>
      <c r="F32" s="8">
        <f>D32*E32</f>
        <v/>
      </c>
      <c r="G32" s="5" t="inlineStr">
        <is>
          <t>Entregue</t>
        </is>
      </c>
    </row>
    <row r="33">
      <c r="A33" s="4" t="inlineStr">
        <is>
          <t>2025/2026</t>
        </is>
      </c>
      <c r="B33" s="4" t="inlineStr">
        <is>
          <t>Jul/26</t>
        </is>
      </c>
      <c r="C33" s="4" t="inlineStr">
        <is>
          <t>BUS-ELE-12M</t>
        </is>
      </c>
      <c r="D33" s="7" t="n">
        <v>5</v>
      </c>
      <c r="E33" s="8" t="n">
        <v>1989365.01</v>
      </c>
      <c r="F33" s="8">
        <f>D33*E33</f>
        <v/>
      </c>
      <c r="G33" s="5" t="inlineStr">
        <is>
          <t>Entregue</t>
        </is>
      </c>
    </row>
    <row r="34">
      <c r="A34" s="4" t="inlineStr">
        <is>
          <t>2025/2026</t>
        </is>
      </c>
      <c r="B34" s="4" t="inlineStr">
        <is>
          <t>Jul/26</t>
        </is>
      </c>
      <c r="C34" s="4" t="inlineStr">
        <is>
          <t>BUS-ROD-14M</t>
        </is>
      </c>
      <c r="D34" s="7" t="n">
        <v>4</v>
      </c>
      <c r="E34" s="8" t="n">
        <v>1284136.94</v>
      </c>
      <c r="F34" s="8">
        <f>D34*E34</f>
        <v/>
      </c>
      <c r="G34" s="5" t="inlineStr">
        <is>
          <t>Entregue</t>
        </is>
      </c>
    </row>
    <row r="35">
      <c r="A35" s="4" t="inlineStr">
        <is>
          <t>2025/2026</t>
        </is>
      </c>
      <c r="B35" s="4" t="inlineStr">
        <is>
          <t>Jul/26</t>
        </is>
      </c>
      <c r="C35" s="4" t="inlineStr">
        <is>
          <t>BUS-MIC-09M</t>
        </is>
      </c>
      <c r="D35" s="7" t="n">
        <v>16</v>
      </c>
      <c r="E35" s="8" t="n">
        <v>372806.77</v>
      </c>
      <c r="F35" s="8">
        <f>D35*E35</f>
        <v/>
      </c>
      <c r="G35" s="5" t="inlineStr">
        <is>
          <t>Entregue</t>
        </is>
      </c>
    </row>
    <row r="36">
      <c r="A36" s="4" t="inlineStr">
        <is>
          <t>2025/2026</t>
        </is>
      </c>
      <c r="B36" s="4" t="inlineStr">
        <is>
          <t>Ago/26</t>
        </is>
      </c>
      <c r="C36" s="4" t="inlineStr">
        <is>
          <t>BUS-ROD-14M</t>
        </is>
      </c>
      <c r="D36" s="7" t="n">
        <v>6</v>
      </c>
      <c r="E36" s="8" t="n">
        <v>1394620.73</v>
      </c>
      <c r="F36" s="8">
        <f>D36*E36</f>
        <v/>
      </c>
      <c r="G36" s="5" t="inlineStr">
        <is>
          <t>Em Produção</t>
        </is>
      </c>
    </row>
    <row r="37">
      <c r="A37" s="4" t="inlineStr">
        <is>
          <t>2025/2026</t>
        </is>
      </c>
      <c r="B37" s="4" t="inlineStr">
        <is>
          <t>Ago/26</t>
        </is>
      </c>
      <c r="C37" s="4" t="inlineStr">
        <is>
          <t>BUS-MIC-09M</t>
        </is>
      </c>
      <c r="D37" s="7" t="n">
        <v>16</v>
      </c>
      <c r="E37" s="8" t="n">
        <v>378042.79</v>
      </c>
      <c r="F37" s="8">
        <f>D37*E37</f>
        <v/>
      </c>
      <c r="G37" s="5" t="inlineStr">
        <is>
          <t>Em Produção</t>
        </is>
      </c>
    </row>
    <row r="38">
      <c r="A38" s="4" t="inlineStr">
        <is>
          <t>2025/2026</t>
        </is>
      </c>
      <c r="B38" s="4" t="inlineStr">
        <is>
          <t>Ago/26</t>
        </is>
      </c>
      <c r="C38" s="4" t="inlineStr">
        <is>
          <t>BUS-ELE-12M</t>
        </is>
      </c>
      <c r="D38" s="7" t="n">
        <v>5</v>
      </c>
      <c r="E38" s="8" t="n">
        <v>1898567.85</v>
      </c>
      <c r="F38" s="8">
        <f>D38*E38</f>
        <v/>
      </c>
      <c r="G38" s="5" t="inlineStr">
        <is>
          <t>Em Produção</t>
        </is>
      </c>
    </row>
    <row r="39">
      <c r="A39" s="4" t="inlineStr">
        <is>
          <t>2025/2026</t>
        </is>
      </c>
      <c r="B39" s="4" t="inlineStr">
        <is>
          <t>Set/26</t>
        </is>
      </c>
      <c r="C39" s="4" t="inlineStr">
        <is>
          <t>BUS-URB-ART</t>
        </is>
      </c>
      <c r="D39" s="7" t="n">
        <v>7</v>
      </c>
      <c r="E39" s="8" t="n">
        <v>1141486.59</v>
      </c>
      <c r="F39" s="8">
        <f>D39*E39</f>
        <v/>
      </c>
      <c r="G39" s="5" t="inlineStr">
        <is>
          <t>Em Produção</t>
        </is>
      </c>
    </row>
    <row r="40">
      <c r="A40" s="4" t="inlineStr">
        <is>
          <t>2025/2026</t>
        </is>
      </c>
      <c r="B40" s="4" t="inlineStr">
        <is>
          <t>Set/26</t>
        </is>
      </c>
      <c r="C40" s="4" t="inlineStr">
        <is>
          <t>BUS-ROD-14M</t>
        </is>
      </c>
      <c r="D40" s="7" t="n">
        <v>6</v>
      </c>
      <c r="E40" s="8" t="n">
        <v>1411463.19</v>
      </c>
      <c r="F40" s="8">
        <f>D40*E40</f>
        <v/>
      </c>
      <c r="G40" s="5" t="inlineStr">
        <is>
          <t>Em Produção</t>
        </is>
      </c>
    </row>
    <row r="41">
      <c r="A41" s="4" t="inlineStr">
        <is>
          <t>2025/2026</t>
        </is>
      </c>
      <c r="B41" s="4" t="inlineStr">
        <is>
          <t>Set/26</t>
        </is>
      </c>
      <c r="C41" s="4" t="inlineStr">
        <is>
          <t>BUS-URB-12M</t>
        </is>
      </c>
      <c r="D41" s="7" t="n">
        <v>17</v>
      </c>
      <c r="E41" s="8" t="n">
        <v>554539.41</v>
      </c>
      <c r="F41" s="8">
        <f>D41*E41</f>
        <v/>
      </c>
      <c r="G41" s="5" t="inlineStr">
        <is>
          <t>Em Produção</t>
        </is>
      </c>
    </row>
    <row r="42">
      <c r="A42" s="4" t="inlineStr">
        <is>
          <t>2025/2026</t>
        </is>
      </c>
      <c r="B42" s="4" t="inlineStr">
        <is>
          <t>Set/26</t>
        </is>
      </c>
      <c r="C42" s="4" t="inlineStr">
        <is>
          <t>BUS-URB-ART</t>
        </is>
      </c>
      <c r="D42" s="7" t="n">
        <v>5</v>
      </c>
      <c r="E42" s="8" t="n">
        <v>1214796.46</v>
      </c>
      <c r="F42" s="8">
        <f>D42*E42</f>
        <v/>
      </c>
      <c r="G42" s="5" t="inlineStr">
        <is>
          <t>Em Produção</t>
        </is>
      </c>
    </row>
    <row r="43">
      <c r="A43" s="4" t="inlineStr">
        <is>
          <t>2025/2026</t>
        </is>
      </c>
      <c r="B43" s="4" t="inlineStr">
        <is>
          <t>Out/26</t>
        </is>
      </c>
      <c r="C43" s="4" t="inlineStr">
        <is>
          <t>BUS-URB-ART</t>
        </is>
      </c>
      <c r="D43" s="7" t="n">
        <v>1</v>
      </c>
      <c r="E43" s="8" t="n">
        <v>1137962.82</v>
      </c>
      <c r="F43" s="8">
        <f>D43*E43</f>
        <v/>
      </c>
      <c r="G43" s="5" t="inlineStr">
        <is>
          <t>Pendente / Atrasado</t>
        </is>
      </c>
    </row>
    <row r="44">
      <c r="A44" s="4" t="inlineStr">
        <is>
          <t>2025/2026</t>
        </is>
      </c>
      <c r="B44" s="4" t="inlineStr">
        <is>
          <t>Out/26</t>
        </is>
      </c>
      <c r="C44" s="4" t="inlineStr">
        <is>
          <t>BUS-ELE-12M</t>
        </is>
      </c>
      <c r="D44" s="7" t="n">
        <v>5</v>
      </c>
      <c r="E44" s="8" t="n">
        <v>1849903.53</v>
      </c>
      <c r="F44" s="8">
        <f>D44*E44</f>
        <v/>
      </c>
      <c r="G44" s="5" t="inlineStr">
        <is>
          <t>Pendente / Atrasado</t>
        </is>
      </c>
    </row>
    <row r="45">
      <c r="A45" s="4" t="inlineStr">
        <is>
          <t>2025/2026</t>
        </is>
      </c>
      <c r="B45" s="4" t="inlineStr">
        <is>
          <t>Out/26</t>
        </is>
      </c>
      <c r="C45" s="4" t="inlineStr">
        <is>
          <t>BUS-ELE-12M</t>
        </is>
      </c>
      <c r="D45" s="7" t="n">
        <v>6</v>
      </c>
      <c r="E45" s="8" t="n">
        <v>1927749.33</v>
      </c>
      <c r="F45" s="8">
        <f>D45*E45</f>
        <v/>
      </c>
      <c r="G45" s="5" t="inlineStr">
        <is>
          <t>Pendente / Atrasado</t>
        </is>
      </c>
    </row>
    <row r="46">
      <c r="A46" s="4" t="inlineStr">
        <is>
          <t>2025/2026</t>
        </is>
      </c>
      <c r="B46" s="4" t="inlineStr">
        <is>
          <t>Out/26</t>
        </is>
      </c>
      <c r="C46" s="4" t="inlineStr">
        <is>
          <t>BUS-MIC-09M</t>
        </is>
      </c>
      <c r="D46" s="7" t="n">
        <v>15</v>
      </c>
      <c r="E46" s="8" t="n">
        <v>407919.98</v>
      </c>
      <c r="F46" s="8">
        <f>D46*E46</f>
        <v/>
      </c>
      <c r="G46" s="5" t="inlineStr">
        <is>
          <t>Pendente / Atrasado</t>
        </is>
      </c>
    </row>
    <row r="47">
      <c r="E47" s="10" t="inlineStr">
        <is>
          <t>TOTAL CARTEIRA DE PEDIDOS:</t>
        </is>
      </c>
      <c r="F47" s="11">
        <f>SUM(F5:F46)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8" customWidth="1" min="1" max="1"/>
    <col width="43" customWidth="1" min="2" max="2"/>
    <col width="46" customWidth="1" min="3" max="3"/>
    <col width="36" customWidth="1" min="4" max="4"/>
    <col width="30" customWidth="1" min="5" max="5"/>
    <col width="29" customWidth="1" min="6" max="6"/>
    <col width="25" customWidth="1" min="7" max="7"/>
  </cols>
  <sheetData>
    <row r="1">
      <c r="A1" s="1" t="inlineStr">
        <is>
          <t>Equipamentos da Linha de Montagem de Carrocerias e Métricas de Precisão</t>
        </is>
      </c>
    </row>
    <row r="2">
      <c r="A2" s="2" t="inlineStr">
        <is>
          <t>Sequenciamento, tempos médios de ciclo e desvio-padrão de erros operacionais (Últimos 180 Dias)</t>
        </is>
      </c>
    </row>
    <row r="3"/>
    <row r="4">
      <c r="A4" s="3" t="inlineStr">
        <is>
          <t>Etapa Sequencial</t>
        </is>
      </c>
      <c r="B4" s="3" t="inlineStr">
        <is>
          <t>Nome da Estação / Equipamento</t>
        </is>
      </c>
      <c r="C4" s="3" t="inlineStr">
        <is>
          <t>Tecnologia / Máquina</t>
        </is>
      </c>
      <c r="D4" s="3" t="inlineStr">
        <is>
          <t>Tempo Médio Ciclo (Horas/Veículo)</t>
        </is>
      </c>
      <c r="E4" s="3" t="inlineStr">
        <is>
          <t>Desvio-Padrão Erros (Horas)</t>
        </is>
      </c>
      <c r="F4" s="3" t="inlineStr">
        <is>
          <t>Taxa Refugo/Retrabalho (%)</t>
        </is>
      </c>
      <c r="G4" s="3" t="inlineStr">
        <is>
          <t>Gargalo Crítico?</t>
        </is>
      </c>
    </row>
    <row r="5">
      <c r="A5" s="4" t="n">
        <v>10</v>
      </c>
      <c r="B5" s="5" t="inlineStr">
        <is>
          <t>Corte e Dobra de Vigas</t>
        </is>
      </c>
      <c r="C5" s="5" t="inlineStr">
        <is>
          <t>Corte Laser Fibra &amp; Prensa Dobradeira CNC</t>
        </is>
      </c>
      <c r="D5" s="12" t="n">
        <v>3.5</v>
      </c>
      <c r="E5" s="13" t="n">
        <v>0.45</v>
      </c>
      <c r="F5" s="9" t="n">
        <v>0.021</v>
      </c>
      <c r="G5" s="5" t="inlineStr">
        <is>
          <t>Não</t>
        </is>
      </c>
    </row>
    <row r="6">
      <c r="A6" s="4" t="n">
        <v>20</v>
      </c>
      <c r="B6" s="5" t="inlineStr">
        <is>
          <t>Armação da Estrutura Lateral e Teto</t>
        </is>
      </c>
      <c r="C6" s="5" t="inlineStr">
        <is>
          <t>Gabarito de Solda Robótica ABB 6-Eixos</t>
        </is>
      </c>
      <c r="D6" s="12" t="n">
        <v>6.2</v>
      </c>
      <c r="E6" s="13" t="n">
        <v>1.15</v>
      </c>
      <c r="F6" s="9" t="n">
        <v>0.058</v>
      </c>
      <c r="G6" s="5" t="inlineStr">
        <is>
          <t>Sim (Refugo Elevado)</t>
        </is>
      </c>
    </row>
    <row r="7">
      <c r="A7" s="4" t="n">
        <v>30</v>
      </c>
      <c r="B7" s="5" t="inlineStr">
        <is>
          <t>Pintura e Tratamento Anticorrosivo</t>
        </is>
      </c>
      <c r="C7" s="5" t="inlineStr">
        <is>
          <t>Cabine de Pintura Automatizada Cataforética</t>
        </is>
      </c>
      <c r="D7" s="12" t="n">
        <v>8</v>
      </c>
      <c r="E7" s="13" t="n">
        <v>0.8</v>
      </c>
      <c r="F7" s="9" t="n">
        <v>0.015</v>
      </c>
      <c r="G7" s="5" t="inlineStr">
        <is>
          <t>Não</t>
        </is>
      </c>
    </row>
    <row r="8">
      <c r="A8" s="4" t="n">
        <v>40</v>
      </c>
      <c r="B8" s="5" t="inlineStr">
        <is>
          <t>Chapeamento e Chapa Externa</t>
        </is>
      </c>
      <c r="C8" s="5" t="inlineStr">
        <is>
          <t>Prensas de Estampagem e Rebite Pneumático</t>
        </is>
      </c>
      <c r="D8" s="12" t="n">
        <v>4.8</v>
      </c>
      <c r="E8" s="13" t="n">
        <v>0.65</v>
      </c>
      <c r="F8" s="9" t="n">
        <v>0.032</v>
      </c>
      <c r="G8" s="5" t="inlineStr">
        <is>
          <t>Não</t>
        </is>
      </c>
    </row>
    <row r="9">
      <c r="A9" s="4" t="n">
        <v>50</v>
      </c>
      <c r="B9" s="5" t="inlineStr">
        <is>
          <t>Montagem de Vidros e Parabrisas</t>
        </is>
      </c>
      <c r="C9" s="5" t="inlineStr">
        <is>
          <t>Manipulador a Vácuo Automatizado KUKA</t>
        </is>
      </c>
      <c r="D9" s="12" t="n">
        <v>2.9</v>
      </c>
      <c r="E9" s="13" t="n">
        <v>0.95</v>
      </c>
      <c r="F9" s="9" t="n">
        <v>0.074</v>
      </c>
      <c r="G9" s="5" t="inlineStr">
        <is>
          <t>Sim (Gargalo de Vidro)</t>
        </is>
      </c>
    </row>
    <row r="10">
      <c r="A10" s="4" t="n">
        <v>60</v>
      </c>
      <c r="B10" s="5" t="inlineStr">
        <is>
          <t>Instalação Elétrica e Mapeamento Chicote</t>
        </is>
      </c>
      <c r="C10" s="5" t="inlineStr">
        <is>
          <t>Estação de Conectividade e Teste CAN-Bus</t>
        </is>
      </c>
      <c r="D10" s="12" t="n">
        <v>5.5</v>
      </c>
      <c r="E10" s="13" t="n">
        <v>1.4</v>
      </c>
      <c r="F10" s="9" t="n">
        <v>0.089</v>
      </c>
      <c r="G10" s="5" t="inlineStr">
        <is>
          <t>Sim (Falha Conectores)</t>
        </is>
      </c>
    </row>
    <row r="11">
      <c r="A11" s="4" t="n">
        <v>70</v>
      </c>
      <c r="B11" s="5" t="inlineStr">
        <is>
          <t>Tapeçaria e Revestimento Interno</t>
        </is>
      </c>
      <c r="C11" s="5" t="inlineStr">
        <is>
          <t>Linha Manual de Montagem de Bancos e Pisos</t>
        </is>
      </c>
      <c r="D11" s="12" t="n">
        <v>6</v>
      </c>
      <c r="E11" s="13" t="n">
        <v>0.5</v>
      </c>
      <c r="F11" s="9" t="n">
        <v>0.018</v>
      </c>
      <c r="G11" s="5" t="inlineStr">
        <is>
          <t>Não</t>
        </is>
      </c>
    </row>
    <row r="12">
      <c r="A12" s="4" t="n">
        <v>80</v>
      </c>
      <c r="B12" s="5" t="inlineStr">
        <is>
          <t>Acoplamento ao Chassi e Teste Final</t>
        </is>
      </c>
      <c r="C12" s="5" t="inlineStr">
        <is>
          <t>Ponte Rolante 20T e Dinamômetro de Rodagem</t>
        </is>
      </c>
      <c r="D12" s="12" t="n">
        <v>4.2</v>
      </c>
      <c r="E12" s="13" t="n">
        <v>0.7</v>
      </c>
      <c r="F12" s="9" t="n">
        <v>0.025</v>
      </c>
      <c r="G12" s="5" t="inlineStr">
        <is>
          <t>Não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2" customWidth="1" min="1" max="1"/>
    <col width="46" customWidth="1" min="2" max="2"/>
    <col width="15" customWidth="1" min="3" max="3"/>
    <col width="23" customWidth="1" min="4" max="4"/>
    <col width="18" customWidth="1" min="5" max="5"/>
    <col width="23" customWidth="1" min="6" max="6"/>
    <col width="19" customWidth="1" min="7" max="7"/>
  </cols>
  <sheetData>
    <row r="1">
      <c r="A1" s="1" t="inlineStr">
        <is>
          <t>Catálogo Geral de Peças e Preços com Fornecedores</t>
        </is>
      </c>
    </row>
    <row r="2">
      <c r="A2" s="2" t="inlineStr">
        <is>
          <t>Custos unitários por componente, prazos de entrega (Lead Time) e fornecedores homologados</t>
        </is>
      </c>
    </row>
    <row r="3"/>
    <row r="4">
      <c r="A4" s="3" t="inlineStr">
        <is>
          <t>Código Peça</t>
        </is>
      </c>
      <c r="B4" s="3" t="inlineStr">
        <is>
          <t>Descrição do Componente</t>
        </is>
      </c>
      <c r="C4" s="3" t="inlineStr">
        <is>
          <t>Categoria</t>
        </is>
      </c>
      <c r="D4" s="3" t="inlineStr">
        <is>
          <t>Fornecedor Principal</t>
        </is>
      </c>
      <c r="E4" s="3" t="inlineStr">
        <is>
          <t>País Origem</t>
        </is>
      </c>
      <c r="F4" s="3" t="inlineStr">
        <is>
          <t>Preço Unitário (BRL)</t>
        </is>
      </c>
      <c r="G4" s="3" t="inlineStr">
        <is>
          <t>Lead Time (Dias)</t>
        </is>
      </c>
    </row>
    <row r="5">
      <c r="A5" s="4" t="inlineStr">
        <is>
          <t>PEC-EST-001</t>
        </is>
      </c>
      <c r="B5" s="5" t="inlineStr">
        <is>
          <t>Perfil Estrutural Aço Galvanizado 6m</t>
        </is>
      </c>
      <c r="C5" s="5" t="inlineStr">
        <is>
          <t>Estrutura</t>
        </is>
      </c>
      <c r="D5" s="5" t="inlineStr">
        <is>
          <t>Açotubo Indústria</t>
        </is>
      </c>
      <c r="E5" s="5" t="inlineStr">
        <is>
          <t>Brasil</t>
        </is>
      </c>
      <c r="F5" s="8" t="n">
        <v>850</v>
      </c>
      <c r="G5" s="7" t="n">
        <v>7</v>
      </c>
    </row>
    <row r="6">
      <c r="A6" s="4" t="inlineStr">
        <is>
          <t>PEC-EST-002</t>
        </is>
      </c>
      <c r="B6" s="5" t="inlineStr">
        <is>
          <t>Chapa Alumínio Estampada Lateral</t>
        </is>
      </c>
      <c r="C6" s="5" t="inlineStr">
        <is>
          <t>Estrutura</t>
        </is>
      </c>
      <c r="D6" s="5" t="inlineStr">
        <is>
          <t>Novelis do Brasil</t>
        </is>
      </c>
      <c r="E6" s="5" t="inlineStr">
        <is>
          <t>Brasil</t>
        </is>
      </c>
      <c r="F6" s="8" t="n">
        <v>1250</v>
      </c>
      <c r="G6" s="7" t="n">
        <v>12</v>
      </c>
    </row>
    <row r="7">
      <c r="A7" s="4" t="inlineStr">
        <is>
          <t>PEC-VID-101</t>
        </is>
      </c>
      <c r="B7" s="5" t="inlineStr">
        <is>
          <t>Parabrisa Inteiriço Laminado Térmico</t>
        </is>
      </c>
      <c r="C7" s="5" t="inlineStr">
        <is>
          <t>Vidros</t>
        </is>
      </c>
      <c r="D7" s="5" t="inlineStr">
        <is>
          <t>Vidroplan Auto</t>
        </is>
      </c>
      <c r="E7" s="5" t="inlineStr">
        <is>
          <t>Brasil</t>
        </is>
      </c>
      <c r="F7" s="8" t="n">
        <v>3400</v>
      </c>
      <c r="G7" s="7" t="n">
        <v>20</v>
      </c>
    </row>
    <row r="8">
      <c r="A8" s="4" t="inlineStr">
        <is>
          <t>PEC-VID-102</t>
        </is>
      </c>
      <c r="B8" s="5" t="inlineStr">
        <is>
          <t>Janela Lateral Temperada Fumê</t>
        </is>
      </c>
      <c r="C8" s="5" t="inlineStr">
        <is>
          <t>Vidros</t>
        </is>
      </c>
      <c r="D8" s="5" t="inlineStr">
        <is>
          <t>AGC Vidros</t>
        </is>
      </c>
      <c r="E8" s="5" t="inlineStr">
        <is>
          <t>Brasil</t>
        </is>
      </c>
      <c r="F8" s="8" t="n">
        <v>480</v>
      </c>
      <c r="G8" s="7" t="n">
        <v>10</v>
      </c>
    </row>
    <row r="9">
      <c r="A9" s="4" t="inlineStr">
        <is>
          <t>PEC-BAN-201</t>
        </is>
      </c>
      <c r="B9" s="5" t="inlineStr">
        <is>
          <t>Poltrona Executiva Reclinável em Couro</t>
        </is>
      </c>
      <c r="C9" s="5" t="inlineStr">
        <is>
          <t>Tapeçaria</t>
        </is>
      </c>
      <c r="D9" s="5" t="inlineStr">
        <is>
          <t>Marcopolo/Seating</t>
        </is>
      </c>
      <c r="E9" s="5" t="inlineStr">
        <is>
          <t>Brasil</t>
        </is>
      </c>
      <c r="F9" s="8" t="n">
        <v>1100</v>
      </c>
      <c r="G9" s="7" t="n">
        <v>15</v>
      </c>
    </row>
    <row r="10">
      <c r="A10" s="4" t="inlineStr">
        <is>
          <t>PEC-BAN-202</t>
        </is>
      </c>
      <c r="B10" s="5" t="inlineStr">
        <is>
          <t>Banda de Assento Urbano Injetado</t>
        </is>
      </c>
      <c r="C10" s="5" t="inlineStr">
        <is>
          <t>Tapeçaria</t>
        </is>
      </c>
      <c r="D10" s="5" t="inlineStr">
        <is>
          <t>Plastilindo</t>
        </is>
      </c>
      <c r="E10" s="5" t="inlineStr">
        <is>
          <t>Brasil</t>
        </is>
      </c>
      <c r="F10" s="8" t="n">
        <v>180</v>
      </c>
      <c r="G10" s="7" t="n">
        <v>5</v>
      </c>
    </row>
    <row r="11">
      <c r="A11" s="4" t="inlineStr">
        <is>
          <t>PEC-MOT-301</t>
        </is>
      </c>
      <c r="B11" s="5" t="inlineStr">
        <is>
          <t>Conjunto Ar Condicionado 120.000 BTU</t>
        </is>
      </c>
      <c r="C11" s="5" t="inlineStr">
        <is>
          <t>Climatização</t>
        </is>
      </c>
      <c r="D11" s="5" t="inlineStr">
        <is>
          <t>Thermo King</t>
        </is>
      </c>
      <c r="E11" s="5" t="inlineStr">
        <is>
          <t>EUA / Importado</t>
        </is>
      </c>
      <c r="F11" s="8" t="n">
        <v>28500</v>
      </c>
      <c r="G11" s="7" t="n">
        <v>45</v>
      </c>
    </row>
    <row r="12">
      <c r="A12" s="4" t="inlineStr">
        <is>
          <t>PEC-ELE-401</t>
        </is>
      </c>
      <c r="B12" s="5" t="inlineStr">
        <is>
          <t>Chicote Elétrico Multiplex Principal</t>
        </is>
      </c>
      <c r="C12" s="5" t="inlineStr">
        <is>
          <t>Elétrica</t>
        </is>
      </c>
      <c r="D12" s="5" t="inlineStr">
        <is>
          <t>Yazaki Brasil</t>
        </is>
      </c>
      <c r="E12" s="5" t="inlineStr">
        <is>
          <t>Brasil</t>
        </is>
      </c>
      <c r="F12" s="8" t="n">
        <v>4200</v>
      </c>
      <c r="G12" s="7" t="n">
        <v>18</v>
      </c>
    </row>
    <row r="13">
      <c r="A13" s="4" t="inlineStr">
        <is>
          <t>PEC-ELE-402</t>
        </is>
      </c>
      <c r="B13" s="5" t="inlineStr">
        <is>
          <t>Inversor de Potência e Bateria LFP 350kWh</t>
        </is>
      </c>
      <c r="C13" s="5" t="inlineStr">
        <is>
          <t>Elétrica EV</t>
        </is>
      </c>
      <c r="D13" s="5" t="inlineStr">
        <is>
          <t>CATL Tech</t>
        </is>
      </c>
      <c r="E13" s="5" t="inlineStr">
        <is>
          <t>China</t>
        </is>
      </c>
      <c r="F13" s="8" t="n">
        <v>480000</v>
      </c>
      <c r="G13" s="7" t="n">
        <v>60</v>
      </c>
    </row>
    <row r="14">
      <c r="A14" s="4" t="inlineStr">
        <is>
          <t>PEC-PORT-501</t>
        </is>
      </c>
      <c r="B14" s="5" t="inlineStr">
        <is>
          <t>Sistema de Porta Pneumática Completa</t>
        </is>
      </c>
      <c r="C14" s="5" t="inlineStr">
        <is>
          <t>Acessórios</t>
        </is>
      </c>
      <c r="D14" s="5" t="inlineStr">
        <is>
          <t>Bode Eletrônica</t>
        </is>
      </c>
      <c r="E14" s="5" t="inlineStr">
        <is>
          <t>Alemanha</t>
        </is>
      </c>
      <c r="F14" s="8" t="n">
        <v>6500</v>
      </c>
      <c r="G14" s="7" t="n">
        <v>30</v>
      </c>
    </row>
    <row r="15">
      <c r="A15" s="4" t="inlineStr">
        <is>
          <t>PEC-PNT-601</t>
        </is>
      </c>
      <c r="B15" s="5" t="inlineStr">
        <is>
          <t>Lote Tinta Primer Epóxi Cataforético (200L)</t>
        </is>
      </c>
      <c r="C15" s="5" t="inlineStr">
        <is>
          <t>Insumos</t>
        </is>
      </c>
      <c r="D15" s="5" t="inlineStr">
        <is>
          <t>PPG Industries</t>
        </is>
      </c>
      <c r="E15" s="5" t="inlineStr">
        <is>
          <t>Brasil</t>
        </is>
      </c>
      <c r="F15" s="8" t="n">
        <v>9200</v>
      </c>
      <c r="G15" s="7" t="n">
        <v>8</v>
      </c>
    </row>
    <row r="16">
      <c r="A16" s="4" t="inlineStr">
        <is>
          <t>PEC-ILU-701</t>
        </is>
      </c>
      <c r="B16" s="5" t="inlineStr">
        <is>
          <t>Conjunto Farol Full LED Dianteiro</t>
        </is>
      </c>
      <c r="C16" s="5" t="inlineStr">
        <is>
          <t>Iluminação</t>
        </is>
      </c>
      <c r="D16" s="5" t="inlineStr">
        <is>
          <t>Arteb Faróis</t>
        </is>
      </c>
      <c r="E16" s="5" t="inlineStr">
        <is>
          <t>Brasil</t>
        </is>
      </c>
      <c r="F16" s="8" t="n">
        <v>2100</v>
      </c>
      <c r="G16" s="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44" customWidth="1" min="3" max="3"/>
    <col width="28" customWidth="1" min="4" max="4"/>
    <col width="23" customWidth="1" min="5" max="5"/>
    <col width="31" customWidth="1" min="6" max="6"/>
  </cols>
  <sheetData>
    <row r="1">
      <c r="A1" s="1" t="inlineStr">
        <is>
          <t>Lista de Materiais Necessários para Montagem por Modelo (Bill of Materials)</t>
        </is>
      </c>
    </row>
    <row r="2">
      <c r="A2" s="2" t="inlineStr">
        <is>
          <t>Consumo unitário de componentes por modelo de ônibus montado</t>
        </is>
      </c>
    </row>
    <row r="3"/>
    <row r="4">
      <c r="A4" s="3" t="inlineStr">
        <is>
          <t>Código Modelo</t>
        </is>
      </c>
      <c r="B4" s="3" t="inlineStr">
        <is>
          <t>Código Peça</t>
        </is>
      </c>
      <c r="C4" s="3" t="inlineStr">
        <is>
          <t>Descrição do Componente</t>
        </is>
      </c>
      <c r="D4" s="3" t="inlineStr">
        <is>
          <t>Qtd Necessária por Ônibus</t>
        </is>
      </c>
      <c r="E4" s="3" t="inlineStr">
        <is>
          <t>Custo Unitário (BRL)</t>
        </is>
      </c>
      <c r="F4" s="3" t="inlineStr">
        <is>
          <t>Custo Total Componente (BRL)</t>
        </is>
      </c>
    </row>
    <row r="5">
      <c r="A5" s="4" t="inlineStr">
        <is>
          <t>BUS-URB-12M</t>
        </is>
      </c>
      <c r="B5" s="4" t="inlineStr">
        <is>
          <t>PEC-EST-001</t>
        </is>
      </c>
      <c r="C5" s="5" t="inlineStr">
        <is>
          <t>Perfil Estrutural Aço Galvanizado 6m</t>
        </is>
      </c>
      <c r="D5" s="7" t="n">
        <v>35</v>
      </c>
      <c r="E5" s="8" t="n">
        <v>850</v>
      </c>
      <c r="F5" s="8">
        <f>D5*E5</f>
        <v/>
      </c>
    </row>
    <row r="6">
      <c r="A6" s="4" t="inlineStr">
        <is>
          <t>BUS-URB-12M</t>
        </is>
      </c>
      <c r="B6" s="4" t="inlineStr">
        <is>
          <t>PEC-EST-002</t>
        </is>
      </c>
      <c r="C6" s="5" t="inlineStr">
        <is>
          <t>Chapa Alumínio Estampada Lateral</t>
        </is>
      </c>
      <c r="D6" s="7" t="n">
        <v>22</v>
      </c>
      <c r="E6" s="8" t="n">
        <v>1250</v>
      </c>
      <c r="F6" s="8">
        <f>D6*E6</f>
        <v/>
      </c>
    </row>
    <row r="7">
      <c r="A7" s="4" t="inlineStr">
        <is>
          <t>BUS-URB-12M</t>
        </is>
      </c>
      <c r="B7" s="4" t="inlineStr">
        <is>
          <t>PEC-VID-101</t>
        </is>
      </c>
      <c r="C7" s="5" t="inlineStr">
        <is>
          <t>Parabrisa Inteiriço Laminado Térmico</t>
        </is>
      </c>
      <c r="D7" s="7" t="n">
        <v>1</v>
      </c>
      <c r="E7" s="8" t="n">
        <v>3400</v>
      </c>
      <c r="F7" s="8">
        <f>D7*E7</f>
        <v/>
      </c>
    </row>
    <row r="8">
      <c r="A8" s="4" t="inlineStr">
        <is>
          <t>BUS-URB-12M</t>
        </is>
      </c>
      <c r="B8" s="4" t="inlineStr">
        <is>
          <t>PEC-VID-102</t>
        </is>
      </c>
      <c r="C8" s="5" t="inlineStr">
        <is>
          <t>Janela Lateral Temperada Fumê</t>
        </is>
      </c>
      <c r="D8" s="7" t="n">
        <v>14</v>
      </c>
      <c r="E8" s="8" t="n">
        <v>480</v>
      </c>
      <c r="F8" s="8">
        <f>D8*E8</f>
        <v/>
      </c>
    </row>
    <row r="9">
      <c r="A9" s="4" t="inlineStr">
        <is>
          <t>BUS-URB-12M</t>
        </is>
      </c>
      <c r="B9" s="4" t="inlineStr">
        <is>
          <t>PEC-BAN-202</t>
        </is>
      </c>
      <c r="C9" s="5" t="inlineStr">
        <is>
          <t>Banda de Assento Urbano Injetado</t>
        </is>
      </c>
      <c r="D9" s="7" t="n">
        <v>45</v>
      </c>
      <c r="E9" s="8" t="n">
        <v>180</v>
      </c>
      <c r="F9" s="8">
        <f>D9*E9</f>
        <v/>
      </c>
    </row>
    <row r="10">
      <c r="A10" s="4" t="inlineStr">
        <is>
          <t>BUS-URB-12M</t>
        </is>
      </c>
      <c r="B10" s="4" t="inlineStr">
        <is>
          <t>PEC-MOT-301</t>
        </is>
      </c>
      <c r="C10" s="5" t="inlineStr">
        <is>
          <t>Conjunto Ar Condicionado 120.000 BTU</t>
        </is>
      </c>
      <c r="D10" s="7" t="n">
        <v>1</v>
      </c>
      <c r="E10" s="8" t="n">
        <v>28500</v>
      </c>
      <c r="F10" s="8">
        <f>D10*E10</f>
        <v/>
      </c>
    </row>
    <row r="11">
      <c r="A11" s="4" t="inlineStr">
        <is>
          <t>BUS-URB-12M</t>
        </is>
      </c>
      <c r="B11" s="4" t="inlineStr">
        <is>
          <t>PEC-ELE-401</t>
        </is>
      </c>
      <c r="C11" s="5" t="inlineStr">
        <is>
          <t>Chicote Elétrico Multiplex Principal</t>
        </is>
      </c>
      <c r="D11" s="7" t="n">
        <v>1</v>
      </c>
      <c r="E11" s="8" t="n">
        <v>4200</v>
      </c>
      <c r="F11" s="8">
        <f>D11*E11</f>
        <v/>
      </c>
    </row>
    <row r="12">
      <c r="A12" s="4" t="inlineStr">
        <is>
          <t>BUS-URB-12M</t>
        </is>
      </c>
      <c r="B12" s="4" t="inlineStr">
        <is>
          <t>PEC-PORT-501</t>
        </is>
      </c>
      <c r="C12" s="5" t="inlineStr">
        <is>
          <t>Sistema de Porta Pneumática Completa</t>
        </is>
      </c>
      <c r="D12" s="7" t="n">
        <v>3</v>
      </c>
      <c r="E12" s="8" t="n">
        <v>6500</v>
      </c>
      <c r="F12" s="8">
        <f>D12*E12</f>
        <v/>
      </c>
    </row>
    <row r="13">
      <c r="A13" s="4" t="inlineStr">
        <is>
          <t>BUS-ROD-14M</t>
        </is>
      </c>
      <c r="B13" s="4" t="inlineStr">
        <is>
          <t>PEC-EST-001</t>
        </is>
      </c>
      <c r="C13" s="5" t="inlineStr">
        <is>
          <t>Perfil Estrutural Aço Galvanizado 6m</t>
        </is>
      </c>
      <c r="D13" s="7" t="n">
        <v>50</v>
      </c>
      <c r="E13" s="8" t="n">
        <v>850</v>
      </c>
      <c r="F13" s="8">
        <f>D13*E13</f>
        <v/>
      </c>
    </row>
    <row r="14">
      <c r="A14" s="4" t="inlineStr">
        <is>
          <t>BUS-ROD-14M</t>
        </is>
      </c>
      <c r="B14" s="4" t="inlineStr">
        <is>
          <t>PEC-EST-002</t>
        </is>
      </c>
      <c r="C14" s="5" t="inlineStr">
        <is>
          <t>Chapa Alumínio Estampada Lateral</t>
        </is>
      </c>
      <c r="D14" s="7" t="n">
        <v>30</v>
      </c>
      <c r="E14" s="8" t="n">
        <v>1250</v>
      </c>
      <c r="F14" s="8">
        <f>D14*E14</f>
        <v/>
      </c>
    </row>
    <row r="15">
      <c r="A15" s="4" t="inlineStr">
        <is>
          <t>BUS-ROD-14M</t>
        </is>
      </c>
      <c r="B15" s="4" t="inlineStr">
        <is>
          <t>PEC-VID-101</t>
        </is>
      </c>
      <c r="C15" s="5" t="inlineStr">
        <is>
          <t>Parabrisa Inteiriço Laminado Térmico</t>
        </is>
      </c>
      <c r="D15" s="7" t="n">
        <v>2</v>
      </c>
      <c r="E15" s="8" t="n">
        <v>3400</v>
      </c>
      <c r="F15" s="8">
        <f>D15*E15</f>
        <v/>
      </c>
    </row>
    <row r="16">
      <c r="A16" s="4" t="inlineStr">
        <is>
          <t>BUS-ROD-14M</t>
        </is>
      </c>
      <c r="B16" s="4" t="inlineStr">
        <is>
          <t>PEC-VID-102</t>
        </is>
      </c>
      <c r="C16" s="5" t="inlineStr">
        <is>
          <t>Janela Lateral Temperada Fumê</t>
        </is>
      </c>
      <c r="D16" s="7" t="n">
        <v>20</v>
      </c>
      <c r="E16" s="8" t="n">
        <v>480</v>
      </c>
      <c r="F16" s="8">
        <f>D16*E16</f>
        <v/>
      </c>
    </row>
    <row r="17">
      <c r="A17" s="4" t="inlineStr">
        <is>
          <t>BUS-ROD-14M</t>
        </is>
      </c>
      <c r="B17" s="4" t="inlineStr">
        <is>
          <t>PEC-BAN-201</t>
        </is>
      </c>
      <c r="C17" s="5" t="inlineStr">
        <is>
          <t>Poltrona Executiva Reclinável em Couro</t>
        </is>
      </c>
      <c r="D17" s="7" t="n">
        <v>56</v>
      </c>
      <c r="E17" s="8" t="n">
        <v>1100</v>
      </c>
      <c r="F17" s="8">
        <f>D17*E17</f>
        <v/>
      </c>
    </row>
    <row r="18">
      <c r="A18" s="4" t="inlineStr">
        <is>
          <t>BUS-ROD-14M</t>
        </is>
      </c>
      <c r="B18" s="4" t="inlineStr">
        <is>
          <t>PEC-MOT-301</t>
        </is>
      </c>
      <c r="C18" s="5" t="inlineStr">
        <is>
          <t>Conjunto Ar Condicionado 120.000 BTU</t>
        </is>
      </c>
      <c r="D18" s="7" t="n">
        <v>2</v>
      </c>
      <c r="E18" s="8" t="n">
        <v>28500</v>
      </c>
      <c r="F18" s="8">
        <f>D18*E18</f>
        <v/>
      </c>
    </row>
    <row r="19">
      <c r="A19" s="4" t="inlineStr">
        <is>
          <t>BUS-ROD-14M</t>
        </is>
      </c>
      <c r="B19" s="4" t="inlineStr">
        <is>
          <t>PEC-ELE-401</t>
        </is>
      </c>
      <c r="C19" s="5" t="inlineStr">
        <is>
          <t>Chicote Elétrico Multiplex Principal</t>
        </is>
      </c>
      <c r="D19" s="7" t="n">
        <v>2</v>
      </c>
      <c r="E19" s="8" t="n">
        <v>4200</v>
      </c>
      <c r="F19" s="8">
        <f>D19*E19</f>
        <v/>
      </c>
    </row>
    <row r="20">
      <c r="A20" s="4" t="inlineStr">
        <is>
          <t>BUS-ELE-12M</t>
        </is>
      </c>
      <c r="B20" s="4" t="inlineStr">
        <is>
          <t>PEC-EST-001</t>
        </is>
      </c>
      <c r="C20" s="5" t="inlineStr">
        <is>
          <t>Perfil Estrutural Aço Galvanizado 6m</t>
        </is>
      </c>
      <c r="D20" s="7" t="n">
        <v>38</v>
      </c>
      <c r="E20" s="8" t="n">
        <v>850</v>
      </c>
      <c r="F20" s="8">
        <f>D20*E20</f>
        <v/>
      </c>
    </row>
    <row r="21">
      <c r="A21" s="4" t="inlineStr">
        <is>
          <t>BUS-ELE-12M</t>
        </is>
      </c>
      <c r="B21" s="4" t="inlineStr">
        <is>
          <t>PEC-ELE-402</t>
        </is>
      </c>
      <c r="C21" s="5" t="inlineStr">
        <is>
          <t>Inversor de Potência e Bateria LFP 350kWh</t>
        </is>
      </c>
      <c r="D21" s="7" t="n">
        <v>1</v>
      </c>
      <c r="E21" s="8" t="n">
        <v>480000</v>
      </c>
      <c r="F21" s="8">
        <f>D21*E21</f>
        <v/>
      </c>
    </row>
    <row r="22">
      <c r="A22" s="4" t="inlineStr">
        <is>
          <t>BUS-ELE-12M</t>
        </is>
      </c>
      <c r="B22" s="4" t="inlineStr">
        <is>
          <t>PEC-BAN-202</t>
        </is>
      </c>
      <c r="C22" s="5" t="inlineStr">
        <is>
          <t>Banda de Assento Urbano Injetado</t>
        </is>
      </c>
      <c r="D22" s="7" t="n">
        <v>40</v>
      </c>
      <c r="E22" s="8" t="n">
        <v>180</v>
      </c>
      <c r="F22" s="8">
        <f>D22*E22</f>
        <v/>
      </c>
    </row>
    <row r="23">
      <c r="A23" s="4" t="inlineStr">
        <is>
          <t>BUS-ELE-12M</t>
        </is>
      </c>
      <c r="B23" s="4" t="inlineStr">
        <is>
          <t>PEC-PORT-501</t>
        </is>
      </c>
      <c r="C23" s="5" t="inlineStr">
        <is>
          <t>Sistema de Porta Pneumática Completa</t>
        </is>
      </c>
      <c r="D23" s="7" t="n">
        <v>3</v>
      </c>
      <c r="E23" s="8" t="n">
        <v>6500</v>
      </c>
      <c r="F23" s="8">
        <f>D23*E23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cols>
    <col width="101" customWidth="1" min="1" max="1"/>
    <col width="36" customWidth="1" min="2" max="2"/>
    <col width="20" customWidth="1" min="3" max="3"/>
    <col width="25" customWidth="1" min="4" max="4"/>
    <col width="28" customWidth="1" min="5" max="5"/>
    <col width="17" customWidth="1" min="6" max="6"/>
    <col width="21" customWidth="1" min="7" max="7"/>
    <col width="31" customWidth="1" min="8" max="8"/>
    <col width="23" customWidth="1" min="9" max="9"/>
  </cols>
  <sheetData>
    <row r="1">
      <c r="A1" s="1" t="inlineStr">
        <is>
          <t>Quadro de Funcionários, Folha de Pagamento e Faltas (Últimos 180 Dias)</t>
        </is>
      </c>
    </row>
    <row r="2">
      <c r="A2" s="2" t="inlineStr">
        <is>
          <t>Identificação anonimizada por Matrícula/Número, nível hierárquico e indicador de faltas unificadas</t>
        </is>
      </c>
    </row>
    <row r="3"/>
    <row r="4">
      <c r="A4" s="3" t="inlineStr">
        <is>
          <t>Matrícula Nº</t>
        </is>
      </c>
      <c r="B4" s="3" t="inlineStr">
        <is>
          <t>Categoria Proflssional</t>
        </is>
      </c>
      <c r="C4" s="3" t="inlineStr">
        <is>
          <t>Nível Hierárquico</t>
        </is>
      </c>
      <c r="D4" s="3" t="inlineStr">
        <is>
          <t>Setor / Área</t>
        </is>
      </c>
      <c r="E4" s="3" t="inlineStr">
        <is>
          <t>Salário Base Mensal (BRL)</t>
        </is>
      </c>
      <c r="F4" s="3" t="inlineStr">
        <is>
          <t>Encargos (45%)</t>
        </is>
      </c>
      <c r="G4" s="3" t="inlineStr">
        <is>
          <t>Total Mensal (BRL)</t>
        </is>
      </c>
      <c r="H4" s="3" t="inlineStr">
        <is>
          <t>Faltas Acumuladas (180 Dias)</t>
        </is>
      </c>
      <c r="I4" s="3" t="inlineStr">
        <is>
          <t>Taxa Absenteísmo (%)</t>
        </is>
      </c>
    </row>
    <row r="5">
      <c r="A5" s="4" t="inlineStr">
        <is>
          <t>EMP-1002</t>
        </is>
      </c>
      <c r="B5" s="5" t="inlineStr">
        <is>
          <t>Operador de Montagem I / II / III</t>
        </is>
      </c>
      <c r="C5" s="4" t="inlineStr">
        <is>
          <t>Operacional</t>
        </is>
      </c>
      <c r="D5" s="5" t="inlineStr">
        <is>
          <t>Chão de Fábrica</t>
        </is>
      </c>
      <c r="E5" s="8" t="n">
        <v>3661.69</v>
      </c>
      <c r="F5" s="8">
        <f>E5*0.45</f>
        <v/>
      </c>
      <c r="G5" s="8">
        <f>E5+F5</f>
        <v/>
      </c>
      <c r="H5" s="7" t="n">
        <v>7</v>
      </c>
      <c r="I5" s="9">
        <f>H5/(180*0.714)</f>
        <v/>
      </c>
    </row>
    <row r="6">
      <c r="A6" s="4" t="inlineStr">
        <is>
          <t>EMP-1003</t>
        </is>
      </c>
      <c r="B6" s="5" t="inlineStr">
        <is>
          <t>Operador de Montagem I / II / III</t>
        </is>
      </c>
      <c r="C6" s="4" t="inlineStr">
        <is>
          <t>Operacional</t>
        </is>
      </c>
      <c r="D6" s="5" t="inlineStr">
        <is>
          <t>Chão de Fábrica</t>
        </is>
      </c>
      <c r="E6" s="8" t="n">
        <v>4742.1</v>
      </c>
      <c r="F6" s="8">
        <f>E6*0.45</f>
        <v/>
      </c>
      <c r="G6" s="8">
        <f>E6+F6</f>
        <v/>
      </c>
      <c r="H6" s="7" t="n">
        <v>5</v>
      </c>
      <c r="I6" s="9">
        <f>H6/(180*0.714)</f>
        <v/>
      </c>
    </row>
    <row r="7">
      <c r="A7" s="4" t="inlineStr">
        <is>
          <t>EMP-1004</t>
        </is>
      </c>
      <c r="B7" s="5" t="inlineStr">
        <is>
          <t>Operador de Montagem I / II / III</t>
        </is>
      </c>
      <c r="C7" s="4" t="inlineStr">
        <is>
          <t>Operacional</t>
        </is>
      </c>
      <c r="D7" s="5" t="inlineStr">
        <is>
          <t>Chão de Fábrica</t>
        </is>
      </c>
      <c r="E7" s="8" t="n">
        <v>4710.49</v>
      </c>
      <c r="F7" s="8">
        <f>E7*0.45</f>
        <v/>
      </c>
      <c r="G7" s="8">
        <f>E7+F7</f>
        <v/>
      </c>
      <c r="H7" s="7" t="n">
        <v>2</v>
      </c>
      <c r="I7" s="9">
        <f>H7/(180*0.714)</f>
        <v/>
      </c>
    </row>
    <row r="8">
      <c r="A8" s="4" t="inlineStr">
        <is>
          <t>EMP-1005</t>
        </is>
      </c>
      <c r="B8" s="5" t="inlineStr">
        <is>
          <t>Operador de Montagem I / II / III</t>
        </is>
      </c>
      <c r="C8" s="4" t="inlineStr">
        <is>
          <t>Operacional</t>
        </is>
      </c>
      <c r="D8" s="5" t="inlineStr">
        <is>
          <t>Chão de Fábrica</t>
        </is>
      </c>
      <c r="E8" s="8" t="n">
        <v>4038.91</v>
      </c>
      <c r="F8" s="8">
        <f>E8*0.45</f>
        <v/>
      </c>
      <c r="G8" s="8">
        <f>E8+F8</f>
        <v/>
      </c>
      <c r="H8" s="7" t="n">
        <v>5</v>
      </c>
      <c r="I8" s="9">
        <f>H8/(180*0.714)</f>
        <v/>
      </c>
    </row>
    <row r="9">
      <c r="A9" s="4" t="inlineStr">
        <is>
          <t>EMP-1006</t>
        </is>
      </c>
      <c r="B9" s="5" t="inlineStr">
        <is>
          <t>Operador de Montagem I / II / III</t>
        </is>
      </c>
      <c r="C9" s="4" t="inlineStr">
        <is>
          <t>Operacional</t>
        </is>
      </c>
      <c r="D9" s="5" t="inlineStr">
        <is>
          <t>Chão de Fábrica</t>
        </is>
      </c>
      <c r="E9" s="8" t="n">
        <v>4662.22</v>
      </c>
      <c r="F9" s="8">
        <f>E9*0.45</f>
        <v/>
      </c>
      <c r="G9" s="8">
        <f>E9+F9</f>
        <v/>
      </c>
      <c r="H9" s="7" t="n">
        <v>3</v>
      </c>
      <c r="I9" s="9">
        <f>H9/(180*0.714)</f>
        <v/>
      </c>
    </row>
    <row r="10">
      <c r="A10" s="4" t="inlineStr">
        <is>
          <t>EMP-1007</t>
        </is>
      </c>
      <c r="B10" s="5" t="inlineStr">
        <is>
          <t>Operador de Montagem I / II / III</t>
        </is>
      </c>
      <c r="C10" s="4" t="inlineStr">
        <is>
          <t>Operacional</t>
        </is>
      </c>
      <c r="D10" s="5" t="inlineStr">
        <is>
          <t>Chão de Fábrica</t>
        </is>
      </c>
      <c r="E10" s="8" t="n">
        <v>4527.72</v>
      </c>
      <c r="F10" s="8">
        <f>E10*0.45</f>
        <v/>
      </c>
      <c r="G10" s="8">
        <f>E10+F10</f>
        <v/>
      </c>
      <c r="H10" s="7" t="n">
        <v>13</v>
      </c>
      <c r="I10" s="9">
        <f>H10/(180*0.714)</f>
        <v/>
      </c>
    </row>
    <row r="11">
      <c r="A11" s="4" t="inlineStr">
        <is>
          <t>EMP-1008</t>
        </is>
      </c>
      <c r="B11" s="5" t="inlineStr">
        <is>
          <t>Operador de Montagem I / II / III</t>
        </is>
      </c>
      <c r="C11" s="4" t="inlineStr">
        <is>
          <t>Operacional</t>
        </is>
      </c>
      <c r="D11" s="5" t="inlineStr">
        <is>
          <t>Chão de Fábrica</t>
        </is>
      </c>
      <c r="E11" s="8" t="n">
        <v>4707.61</v>
      </c>
      <c r="F11" s="8">
        <f>E11*0.45</f>
        <v/>
      </c>
      <c r="G11" s="8">
        <f>E11+F11</f>
        <v/>
      </c>
      <c r="H11" s="7" t="n">
        <v>5</v>
      </c>
      <c r="I11" s="9">
        <f>H11/(180*0.714)</f>
        <v/>
      </c>
    </row>
    <row r="12">
      <c r="A12" s="4" t="inlineStr">
        <is>
          <t>EMP-1009</t>
        </is>
      </c>
      <c r="B12" s="5" t="inlineStr">
        <is>
          <t>Operador de Montagem I / II / III</t>
        </is>
      </c>
      <c r="C12" s="4" t="inlineStr">
        <is>
          <t>Operacional</t>
        </is>
      </c>
      <c r="D12" s="5" t="inlineStr">
        <is>
          <t>Chão de Fábrica</t>
        </is>
      </c>
      <c r="E12" s="8" t="n">
        <v>3581.54</v>
      </c>
      <c r="F12" s="8">
        <f>E12*0.45</f>
        <v/>
      </c>
      <c r="G12" s="8">
        <f>E12+F12</f>
        <v/>
      </c>
      <c r="H12" s="7" t="n">
        <v>8</v>
      </c>
      <c r="I12" s="9">
        <f>H12/(180*0.714)</f>
        <v/>
      </c>
    </row>
    <row r="13">
      <c r="A13" s="4" t="inlineStr">
        <is>
          <t>EMP-1010</t>
        </is>
      </c>
      <c r="B13" s="5" t="inlineStr">
        <is>
          <t>Operador de Montagem I / II / III</t>
        </is>
      </c>
      <c r="C13" s="4" t="inlineStr">
        <is>
          <t>Operacional</t>
        </is>
      </c>
      <c r="D13" s="5" t="inlineStr">
        <is>
          <t>Chão de Fábrica</t>
        </is>
      </c>
      <c r="E13" s="8" t="n">
        <v>3511.22</v>
      </c>
      <c r="F13" s="8">
        <f>E13*0.45</f>
        <v/>
      </c>
      <c r="G13" s="8">
        <f>E13+F13</f>
        <v/>
      </c>
      <c r="H13" s="7" t="n">
        <v>11</v>
      </c>
      <c r="I13" s="9">
        <f>H13/(180*0.714)</f>
        <v/>
      </c>
    </row>
    <row r="14">
      <c r="A14" s="4" t="inlineStr">
        <is>
          <t>EMP-1011</t>
        </is>
      </c>
      <c r="B14" s="5" t="inlineStr">
        <is>
          <t>Operador de Montagem I / II / III</t>
        </is>
      </c>
      <c r="C14" s="4" t="inlineStr">
        <is>
          <t>Operacional</t>
        </is>
      </c>
      <c r="D14" s="5" t="inlineStr">
        <is>
          <t>Chão de Fábrica</t>
        </is>
      </c>
      <c r="E14" s="8" t="n">
        <v>3421.21</v>
      </c>
      <c r="F14" s="8">
        <f>E14*0.45</f>
        <v/>
      </c>
      <c r="G14" s="8">
        <f>E14+F14</f>
        <v/>
      </c>
      <c r="H14" s="7" t="n">
        <v>11</v>
      </c>
      <c r="I14" s="9">
        <f>H14/(180*0.714)</f>
        <v/>
      </c>
    </row>
    <row r="15">
      <c r="A15" s="4" t="inlineStr">
        <is>
          <t>EMP-1012</t>
        </is>
      </c>
      <c r="B15" s="5" t="inlineStr">
        <is>
          <t>Operador de Montagem I / II / III</t>
        </is>
      </c>
      <c r="C15" s="4" t="inlineStr">
        <is>
          <t>Operacional</t>
        </is>
      </c>
      <c r="D15" s="5" t="inlineStr">
        <is>
          <t>Chão de Fábrica</t>
        </is>
      </c>
      <c r="E15" s="8" t="n">
        <v>4340.15</v>
      </c>
      <c r="F15" s="8">
        <f>E15*0.45</f>
        <v/>
      </c>
      <c r="G15" s="8">
        <f>E15+F15</f>
        <v/>
      </c>
      <c r="H15" s="7" t="n">
        <v>8</v>
      </c>
      <c r="I15" s="9">
        <f>H15/(180*0.714)</f>
        <v/>
      </c>
    </row>
    <row r="16">
      <c r="A16" s="4" t="inlineStr">
        <is>
          <t>EMP-1013</t>
        </is>
      </c>
      <c r="B16" s="5" t="inlineStr">
        <is>
          <t>Operador de Montagem I / II / III</t>
        </is>
      </c>
      <c r="C16" s="4" t="inlineStr">
        <is>
          <t>Operacional</t>
        </is>
      </c>
      <c r="D16" s="5" t="inlineStr">
        <is>
          <t>Chão de Fábrica</t>
        </is>
      </c>
      <c r="E16" s="8" t="n">
        <v>4174.24</v>
      </c>
      <c r="F16" s="8">
        <f>E16*0.45</f>
        <v/>
      </c>
      <c r="G16" s="8">
        <f>E16+F16</f>
        <v/>
      </c>
      <c r="H16" s="7" t="n">
        <v>8</v>
      </c>
      <c r="I16" s="9">
        <f>H16/(180*0.714)</f>
        <v/>
      </c>
    </row>
    <row r="17">
      <c r="A17" s="4" t="inlineStr">
        <is>
          <t>EMP-1014</t>
        </is>
      </c>
      <c r="B17" s="5" t="inlineStr">
        <is>
          <t>Operador de Montagem I / II / III</t>
        </is>
      </c>
      <c r="C17" s="4" t="inlineStr">
        <is>
          <t>Operacional</t>
        </is>
      </c>
      <c r="D17" s="5" t="inlineStr">
        <is>
          <t>Chão de Fábrica</t>
        </is>
      </c>
      <c r="E17" s="8" t="n">
        <v>3899.17</v>
      </c>
      <c r="F17" s="8">
        <f>E17*0.45</f>
        <v/>
      </c>
      <c r="G17" s="8">
        <f>E17+F17</f>
        <v/>
      </c>
      <c r="H17" s="7" t="n">
        <v>11</v>
      </c>
      <c r="I17" s="9">
        <f>H17/(180*0.714)</f>
        <v/>
      </c>
    </row>
    <row r="18">
      <c r="A18" s="4" t="inlineStr">
        <is>
          <t>EMP-1015</t>
        </is>
      </c>
      <c r="B18" s="5" t="inlineStr">
        <is>
          <t>Operador de Montagem I / II / III</t>
        </is>
      </c>
      <c r="C18" s="4" t="inlineStr">
        <is>
          <t>Operacional</t>
        </is>
      </c>
      <c r="D18" s="5" t="inlineStr">
        <is>
          <t>Chão de Fábrica</t>
        </is>
      </c>
      <c r="E18" s="8" t="n">
        <v>3693.33</v>
      </c>
      <c r="F18" s="8">
        <f>E18*0.45</f>
        <v/>
      </c>
      <c r="G18" s="8">
        <f>E18+F18</f>
        <v/>
      </c>
      <c r="H18" s="7" t="n">
        <v>9</v>
      </c>
      <c r="I18" s="9">
        <f>H18/(180*0.714)</f>
        <v/>
      </c>
    </row>
    <row r="19">
      <c r="A19" s="4" t="inlineStr">
        <is>
          <t>EMP-1016</t>
        </is>
      </c>
      <c r="B19" s="5" t="inlineStr">
        <is>
          <t>Operador de Montagem I / II / III</t>
        </is>
      </c>
      <c r="C19" s="4" t="inlineStr">
        <is>
          <t>Operacional</t>
        </is>
      </c>
      <c r="D19" s="5" t="inlineStr">
        <is>
          <t>Chão de Fábrica</t>
        </is>
      </c>
      <c r="E19" s="8" t="n">
        <v>4245.41</v>
      </c>
      <c r="F19" s="8">
        <f>E19*0.45</f>
        <v/>
      </c>
      <c r="G19" s="8">
        <f>E19+F19</f>
        <v/>
      </c>
      <c r="H19" s="7" t="n">
        <v>2</v>
      </c>
      <c r="I19" s="9">
        <f>H19/(180*0.714)</f>
        <v/>
      </c>
    </row>
    <row r="20">
      <c r="A20" s="4" t="inlineStr">
        <is>
          <t>EMP-1017</t>
        </is>
      </c>
      <c r="B20" s="5" t="inlineStr">
        <is>
          <t>Operador de Montagem I / II / III</t>
        </is>
      </c>
      <c r="C20" s="4" t="inlineStr">
        <is>
          <t>Operacional</t>
        </is>
      </c>
      <c r="D20" s="5" t="inlineStr">
        <is>
          <t>Chão de Fábrica</t>
        </is>
      </c>
      <c r="E20" s="8" t="n">
        <v>3921.78</v>
      </c>
      <c r="F20" s="8">
        <f>E20*0.45</f>
        <v/>
      </c>
      <c r="G20" s="8">
        <f>E20+F20</f>
        <v/>
      </c>
      <c r="H20" s="7" t="n">
        <v>3</v>
      </c>
      <c r="I20" s="9">
        <f>H20/(180*0.714)</f>
        <v/>
      </c>
    </row>
    <row r="21">
      <c r="A21" s="4" t="inlineStr">
        <is>
          <t>EMP-1018</t>
        </is>
      </c>
      <c r="B21" s="5" t="inlineStr">
        <is>
          <t>Operador de Montagem I / II / III</t>
        </is>
      </c>
      <c r="C21" s="4" t="inlineStr">
        <is>
          <t>Operacional</t>
        </is>
      </c>
      <c r="D21" s="5" t="inlineStr">
        <is>
          <t>Chão de Fábrica</t>
        </is>
      </c>
      <c r="E21" s="8" t="n">
        <v>3779.64</v>
      </c>
      <c r="F21" s="8">
        <f>E21*0.45</f>
        <v/>
      </c>
      <c r="G21" s="8">
        <f>E21+F21</f>
        <v/>
      </c>
      <c r="H21" s="7" t="n">
        <v>3</v>
      </c>
      <c r="I21" s="9">
        <f>H21/(180*0.714)</f>
        <v/>
      </c>
    </row>
    <row r="22">
      <c r="A22" s="4" t="inlineStr">
        <is>
          <t>EMP-1019</t>
        </is>
      </c>
      <c r="B22" s="5" t="inlineStr">
        <is>
          <t>Operador de Montagem I / II / III</t>
        </is>
      </c>
      <c r="C22" s="4" t="inlineStr">
        <is>
          <t>Operacional</t>
        </is>
      </c>
      <c r="D22" s="5" t="inlineStr">
        <is>
          <t>Chão de Fábrica</t>
        </is>
      </c>
      <c r="E22" s="8" t="n">
        <v>3734.94</v>
      </c>
      <c r="F22" s="8">
        <f>E22*0.45</f>
        <v/>
      </c>
      <c r="G22" s="8">
        <f>E22+F22</f>
        <v/>
      </c>
      <c r="H22" s="7" t="n">
        <v>10</v>
      </c>
      <c r="I22" s="9">
        <f>H22/(180*0.714)</f>
        <v/>
      </c>
    </row>
    <row r="23">
      <c r="A23" s="4" t="inlineStr">
        <is>
          <t>EMP-1020</t>
        </is>
      </c>
      <c r="B23" s="5" t="inlineStr">
        <is>
          <t>Operador de Montagem I / II / III</t>
        </is>
      </c>
      <c r="C23" s="4" t="inlineStr">
        <is>
          <t>Operacional</t>
        </is>
      </c>
      <c r="D23" s="5" t="inlineStr">
        <is>
          <t>Chão de Fábrica</t>
        </is>
      </c>
      <c r="E23" s="8" t="n">
        <v>4779.7</v>
      </c>
      <c r="F23" s="8">
        <f>E23*0.45</f>
        <v/>
      </c>
      <c r="G23" s="8">
        <f>E23+F23</f>
        <v/>
      </c>
      <c r="H23" s="7" t="n">
        <v>13</v>
      </c>
      <c r="I23" s="9">
        <f>H23/(180*0.714)</f>
        <v/>
      </c>
    </row>
    <row r="24">
      <c r="A24" s="4" t="inlineStr">
        <is>
          <t>EMP-1021</t>
        </is>
      </c>
      <c r="B24" s="5" t="inlineStr">
        <is>
          <t>Operador de Montagem I / II / III</t>
        </is>
      </c>
      <c r="C24" s="4" t="inlineStr">
        <is>
          <t>Operacional</t>
        </is>
      </c>
      <c r="D24" s="5" t="inlineStr">
        <is>
          <t>Chão de Fábrica</t>
        </is>
      </c>
      <c r="E24" s="8" t="n">
        <v>3583.46</v>
      </c>
      <c r="F24" s="8">
        <f>E24*0.45</f>
        <v/>
      </c>
      <c r="G24" s="8">
        <f>E24+F24</f>
        <v/>
      </c>
      <c r="H24" s="7" t="n">
        <v>10</v>
      </c>
      <c r="I24" s="9">
        <f>H24/(180*0.714)</f>
        <v/>
      </c>
    </row>
    <row r="25">
      <c r="A25" s="4" t="inlineStr">
        <is>
          <t>EMP-1022</t>
        </is>
      </c>
      <c r="B25" s="5" t="inlineStr">
        <is>
          <t>Operador de Montagem I / II / III</t>
        </is>
      </c>
      <c r="C25" s="4" t="inlineStr">
        <is>
          <t>Operacional</t>
        </is>
      </c>
      <c r="D25" s="5" t="inlineStr">
        <is>
          <t>Chão de Fábrica</t>
        </is>
      </c>
      <c r="E25" s="8" t="n">
        <v>4097.45</v>
      </c>
      <c r="F25" s="8">
        <f>E25*0.45</f>
        <v/>
      </c>
      <c r="G25" s="8">
        <f>E25+F25</f>
        <v/>
      </c>
      <c r="H25" s="7" t="n">
        <v>5</v>
      </c>
      <c r="I25" s="9">
        <f>H25/(180*0.714)</f>
        <v/>
      </c>
    </row>
    <row r="26">
      <c r="A26" s="4" t="inlineStr">
        <is>
          <t>EMP-1023</t>
        </is>
      </c>
      <c r="B26" s="5" t="inlineStr">
        <is>
          <t>Operador de Montagem I / II / III</t>
        </is>
      </c>
      <c r="C26" s="4" t="inlineStr">
        <is>
          <t>Operacional</t>
        </is>
      </c>
      <c r="D26" s="5" t="inlineStr">
        <is>
          <t>Chão de Fábrica</t>
        </is>
      </c>
      <c r="E26" s="8" t="n">
        <v>3735.56</v>
      </c>
      <c r="F26" s="8">
        <f>E26*0.45</f>
        <v/>
      </c>
      <c r="G26" s="8">
        <f>E26+F26</f>
        <v/>
      </c>
      <c r="H26" s="7" t="n">
        <v>2</v>
      </c>
      <c r="I26" s="9">
        <f>H26/(180*0.714)</f>
        <v/>
      </c>
    </row>
    <row r="27">
      <c r="A27" s="4" t="inlineStr">
        <is>
          <t>EMP-1024</t>
        </is>
      </c>
      <c r="B27" s="5" t="inlineStr">
        <is>
          <t>Operador de Montagem I / II / III</t>
        </is>
      </c>
      <c r="C27" s="4" t="inlineStr">
        <is>
          <t>Operacional</t>
        </is>
      </c>
      <c r="D27" s="5" t="inlineStr">
        <is>
          <t>Chão de Fábrica</t>
        </is>
      </c>
      <c r="E27" s="8" t="n">
        <v>3377</v>
      </c>
      <c r="F27" s="8">
        <f>E27*0.45</f>
        <v/>
      </c>
      <c r="G27" s="8">
        <f>E27+F27</f>
        <v/>
      </c>
      <c r="H27" s="7" t="n">
        <v>8</v>
      </c>
      <c r="I27" s="9">
        <f>H27/(180*0.714)</f>
        <v/>
      </c>
    </row>
    <row r="28">
      <c r="A28" s="4" t="inlineStr">
        <is>
          <t>EMP-1025</t>
        </is>
      </c>
      <c r="B28" s="5" t="inlineStr">
        <is>
          <t>Operador de Montagem I / II / III</t>
        </is>
      </c>
      <c r="C28" s="4" t="inlineStr">
        <is>
          <t>Operacional</t>
        </is>
      </c>
      <c r="D28" s="5" t="inlineStr">
        <is>
          <t>Chão de Fábrica</t>
        </is>
      </c>
      <c r="E28" s="8" t="n">
        <v>4544.55</v>
      </c>
      <c r="F28" s="8">
        <f>E28*0.45</f>
        <v/>
      </c>
      <c r="G28" s="8">
        <f>E28+F28</f>
        <v/>
      </c>
      <c r="H28" s="7" t="n">
        <v>1</v>
      </c>
      <c r="I28" s="9">
        <f>H28/(180*0.714)</f>
        <v/>
      </c>
    </row>
    <row r="29">
      <c r="A29" s="4" t="inlineStr">
        <is>
          <t>EMP-1026</t>
        </is>
      </c>
      <c r="B29" s="5" t="inlineStr">
        <is>
          <t>Operador de Montagem I / II / III</t>
        </is>
      </c>
      <c r="C29" s="4" t="inlineStr">
        <is>
          <t>Operacional</t>
        </is>
      </c>
      <c r="D29" s="5" t="inlineStr">
        <is>
          <t>Chão de Fábrica</t>
        </is>
      </c>
      <c r="E29" s="8" t="n">
        <v>4337.36</v>
      </c>
      <c r="F29" s="8">
        <f>E29*0.45</f>
        <v/>
      </c>
      <c r="G29" s="8">
        <f>E29+F29</f>
        <v/>
      </c>
      <c r="H29" s="7" t="n">
        <v>13</v>
      </c>
      <c r="I29" s="9">
        <f>H29/(180*0.714)</f>
        <v/>
      </c>
    </row>
    <row r="30">
      <c r="A30" s="4" t="inlineStr">
        <is>
          <t>EMP-1027</t>
        </is>
      </c>
      <c r="B30" s="5" t="inlineStr">
        <is>
          <t>Operador de Montagem I / II / III</t>
        </is>
      </c>
      <c r="C30" s="4" t="inlineStr">
        <is>
          <t>Operacional</t>
        </is>
      </c>
      <c r="D30" s="5" t="inlineStr">
        <is>
          <t>Chão de Fábrica</t>
        </is>
      </c>
      <c r="E30" s="8" t="n">
        <v>4475.94</v>
      </c>
      <c r="F30" s="8">
        <f>E30*0.45</f>
        <v/>
      </c>
      <c r="G30" s="8">
        <f>E30+F30</f>
        <v/>
      </c>
      <c r="H30" s="7" t="n">
        <v>8</v>
      </c>
      <c r="I30" s="9">
        <f>H30/(180*0.714)</f>
        <v/>
      </c>
    </row>
    <row r="31">
      <c r="A31" s="4" t="inlineStr">
        <is>
          <t>EMP-1028</t>
        </is>
      </c>
      <c r="B31" s="5" t="inlineStr">
        <is>
          <t>Operador de Montagem I / II / III</t>
        </is>
      </c>
      <c r="C31" s="4" t="inlineStr">
        <is>
          <t>Operacional</t>
        </is>
      </c>
      <c r="D31" s="5" t="inlineStr">
        <is>
          <t>Chão de Fábrica</t>
        </is>
      </c>
      <c r="E31" s="8" t="n">
        <v>3625.88</v>
      </c>
      <c r="F31" s="8">
        <f>E31*0.45</f>
        <v/>
      </c>
      <c r="G31" s="8">
        <f>E31+F31</f>
        <v/>
      </c>
      <c r="H31" s="7" t="n">
        <v>8</v>
      </c>
      <c r="I31" s="9">
        <f>H31/(180*0.714)</f>
        <v/>
      </c>
    </row>
    <row r="32">
      <c r="A32" s="4" t="inlineStr">
        <is>
          <t>EMP-1029</t>
        </is>
      </c>
      <c r="B32" s="5" t="inlineStr">
        <is>
          <t>Operador de Montagem I / II / III</t>
        </is>
      </c>
      <c r="C32" s="4" t="inlineStr">
        <is>
          <t>Operacional</t>
        </is>
      </c>
      <c r="D32" s="5" t="inlineStr">
        <is>
          <t>Chão de Fábrica</t>
        </is>
      </c>
      <c r="E32" s="8" t="n">
        <v>4127.39</v>
      </c>
      <c r="F32" s="8">
        <f>E32*0.45</f>
        <v/>
      </c>
      <c r="G32" s="8">
        <f>E32+F32</f>
        <v/>
      </c>
      <c r="H32" s="7" t="n">
        <v>4</v>
      </c>
      <c r="I32" s="9">
        <f>H32/(180*0.714)</f>
        <v/>
      </c>
    </row>
    <row r="33">
      <c r="A33" s="4" t="inlineStr">
        <is>
          <t>EMP-1030</t>
        </is>
      </c>
      <c r="B33" s="5" t="inlineStr">
        <is>
          <t>Operador de Montagem I / II / III</t>
        </is>
      </c>
      <c r="C33" s="4" t="inlineStr">
        <is>
          <t>Operacional</t>
        </is>
      </c>
      <c r="D33" s="5" t="inlineStr">
        <is>
          <t>Chão de Fábrica</t>
        </is>
      </c>
      <c r="E33" s="8" t="n">
        <v>4530.51</v>
      </c>
      <c r="F33" s="8">
        <f>E33*0.45</f>
        <v/>
      </c>
      <c r="G33" s="8">
        <f>E33+F33</f>
        <v/>
      </c>
      <c r="H33" s="7" t="n">
        <v>12</v>
      </c>
      <c r="I33" s="9">
        <f>H33/(180*0.714)</f>
        <v/>
      </c>
    </row>
    <row r="34">
      <c r="A34" s="4" t="inlineStr">
        <is>
          <t>EMP-1031</t>
        </is>
      </c>
      <c r="B34" s="5" t="inlineStr">
        <is>
          <t>Operador de Montagem I / II / III</t>
        </is>
      </c>
      <c r="C34" s="4" t="inlineStr">
        <is>
          <t>Operacional</t>
        </is>
      </c>
      <c r="D34" s="5" t="inlineStr">
        <is>
          <t>Chão de Fábrica</t>
        </is>
      </c>
      <c r="E34" s="8" t="n">
        <v>3593.89</v>
      </c>
      <c r="F34" s="8">
        <f>E34*0.45</f>
        <v/>
      </c>
      <c r="G34" s="8">
        <f>E34+F34</f>
        <v/>
      </c>
      <c r="H34" s="7" t="n">
        <v>13</v>
      </c>
      <c r="I34" s="9">
        <f>H34/(180*0.714)</f>
        <v/>
      </c>
    </row>
    <row r="35">
      <c r="A35" s="4" t="inlineStr">
        <is>
          <t>EMP-1032</t>
        </is>
      </c>
      <c r="B35" s="5" t="inlineStr">
        <is>
          <t>Operador de Montagem I / II / III</t>
        </is>
      </c>
      <c r="C35" s="4" t="inlineStr">
        <is>
          <t>Operacional</t>
        </is>
      </c>
      <c r="D35" s="5" t="inlineStr">
        <is>
          <t>Chão de Fábrica</t>
        </is>
      </c>
      <c r="E35" s="8" t="n">
        <v>4271.94</v>
      </c>
      <c r="F35" s="8">
        <f>E35*0.45</f>
        <v/>
      </c>
      <c r="G35" s="8">
        <f>E35+F35</f>
        <v/>
      </c>
      <c r="H35" s="7" t="n">
        <v>12</v>
      </c>
      <c r="I35" s="9">
        <f>H35/(180*0.714)</f>
        <v/>
      </c>
    </row>
    <row r="36">
      <c r="A36" s="4" t="inlineStr">
        <is>
          <t>EMP-1033</t>
        </is>
      </c>
      <c r="B36" s="5" t="inlineStr">
        <is>
          <t>Operador de Montagem I / II / III</t>
        </is>
      </c>
      <c r="C36" s="4" t="inlineStr">
        <is>
          <t>Operacional</t>
        </is>
      </c>
      <c r="D36" s="5" t="inlineStr">
        <is>
          <t>Chão de Fábrica</t>
        </is>
      </c>
      <c r="E36" s="8" t="n">
        <v>4616.07</v>
      </c>
      <c r="F36" s="8">
        <f>E36*0.45</f>
        <v/>
      </c>
      <c r="G36" s="8">
        <f>E36+F36</f>
        <v/>
      </c>
      <c r="H36" s="7" t="n">
        <v>7</v>
      </c>
      <c r="I36" s="9">
        <f>H36/(180*0.714)</f>
        <v/>
      </c>
    </row>
    <row r="37">
      <c r="A37" s="4" t="inlineStr">
        <is>
          <t>EMP-1034</t>
        </is>
      </c>
      <c r="B37" s="5" t="inlineStr">
        <is>
          <t>Operador de Montagem I / II / III</t>
        </is>
      </c>
      <c r="C37" s="4" t="inlineStr">
        <is>
          <t>Operacional</t>
        </is>
      </c>
      <c r="D37" s="5" t="inlineStr">
        <is>
          <t>Chão de Fábrica</t>
        </is>
      </c>
      <c r="E37" s="8" t="n">
        <v>3549.78</v>
      </c>
      <c r="F37" s="8">
        <f>E37*0.45</f>
        <v/>
      </c>
      <c r="G37" s="8">
        <f>E37+F37</f>
        <v/>
      </c>
      <c r="H37" s="7" t="n">
        <v>3</v>
      </c>
      <c r="I37" s="9">
        <f>H37/(180*0.714)</f>
        <v/>
      </c>
    </row>
    <row r="38">
      <c r="A38" s="4" t="inlineStr">
        <is>
          <t>EMP-1035</t>
        </is>
      </c>
      <c r="B38" s="5" t="inlineStr">
        <is>
          <t>Operador de Montagem I / II / III</t>
        </is>
      </c>
      <c r="C38" s="4" t="inlineStr">
        <is>
          <t>Operacional</t>
        </is>
      </c>
      <c r="D38" s="5" t="inlineStr">
        <is>
          <t>Chão de Fábrica</t>
        </is>
      </c>
      <c r="E38" s="8" t="n">
        <v>4657.06</v>
      </c>
      <c r="F38" s="8">
        <f>E38*0.45</f>
        <v/>
      </c>
      <c r="G38" s="8">
        <f>E38+F38</f>
        <v/>
      </c>
      <c r="H38" s="7" t="n">
        <v>11</v>
      </c>
      <c r="I38" s="9">
        <f>H38/(180*0.714)</f>
        <v/>
      </c>
    </row>
    <row r="39">
      <c r="A39" s="4" t="inlineStr">
        <is>
          <t>EMP-1036</t>
        </is>
      </c>
      <c r="B39" s="5" t="inlineStr">
        <is>
          <t>Operador de Montagem I / II / III</t>
        </is>
      </c>
      <c r="C39" s="4" t="inlineStr">
        <is>
          <t>Operacional</t>
        </is>
      </c>
      <c r="D39" s="5" t="inlineStr">
        <is>
          <t>Chão de Fábrica</t>
        </is>
      </c>
      <c r="E39" s="8" t="n">
        <v>3342.18</v>
      </c>
      <c r="F39" s="8">
        <f>E39*0.45</f>
        <v/>
      </c>
      <c r="G39" s="8">
        <f>E39+F39</f>
        <v/>
      </c>
      <c r="H39" s="7" t="n">
        <v>6</v>
      </c>
      <c r="I39" s="9">
        <f>H39/(180*0.714)</f>
        <v/>
      </c>
    </row>
    <row r="40">
      <c r="A40" s="4" t="inlineStr">
        <is>
          <t>EMP-1037</t>
        </is>
      </c>
      <c r="B40" s="5" t="inlineStr">
        <is>
          <t>Operador de Montagem I / II / III</t>
        </is>
      </c>
      <c r="C40" s="4" t="inlineStr">
        <is>
          <t>Operacional</t>
        </is>
      </c>
      <c r="D40" s="5" t="inlineStr">
        <is>
          <t>Chão de Fábrica</t>
        </is>
      </c>
      <c r="E40" s="8" t="n">
        <v>4685.57</v>
      </c>
      <c r="F40" s="8">
        <f>E40*0.45</f>
        <v/>
      </c>
      <c r="G40" s="8">
        <f>E40+F40</f>
        <v/>
      </c>
      <c r="H40" s="7" t="n">
        <v>11</v>
      </c>
      <c r="I40" s="9">
        <f>H40/(180*0.714)</f>
        <v/>
      </c>
    </row>
    <row r="41">
      <c r="A41" s="4" t="inlineStr">
        <is>
          <t>EMP-1038</t>
        </is>
      </c>
      <c r="B41" s="5" t="inlineStr">
        <is>
          <t>Operador de Montagem I / II / III</t>
        </is>
      </c>
      <c r="C41" s="4" t="inlineStr">
        <is>
          <t>Operacional</t>
        </is>
      </c>
      <c r="D41" s="5" t="inlineStr">
        <is>
          <t>Chão de Fábrica</t>
        </is>
      </c>
      <c r="E41" s="8" t="n">
        <v>4121.49</v>
      </c>
      <c r="F41" s="8">
        <f>E41*0.45</f>
        <v/>
      </c>
      <c r="G41" s="8">
        <f>E41+F41</f>
        <v/>
      </c>
      <c r="H41" s="7" t="n">
        <v>13</v>
      </c>
      <c r="I41" s="9">
        <f>H41/(180*0.714)</f>
        <v/>
      </c>
    </row>
    <row r="42">
      <c r="A42" s="4" t="inlineStr">
        <is>
          <t>EMP-1039</t>
        </is>
      </c>
      <c r="B42" s="5" t="inlineStr">
        <is>
          <t>Operador de Montagem I / II / III</t>
        </is>
      </c>
      <c r="C42" s="4" t="inlineStr">
        <is>
          <t>Operacional</t>
        </is>
      </c>
      <c r="D42" s="5" t="inlineStr">
        <is>
          <t>Chão de Fábrica</t>
        </is>
      </c>
      <c r="E42" s="8" t="n">
        <v>4075.09</v>
      </c>
      <c r="F42" s="8">
        <f>E42*0.45</f>
        <v/>
      </c>
      <c r="G42" s="8">
        <f>E42+F42</f>
        <v/>
      </c>
      <c r="H42" s="7" t="n">
        <v>2</v>
      </c>
      <c r="I42" s="9">
        <f>H42/(180*0.714)</f>
        <v/>
      </c>
    </row>
    <row r="43">
      <c r="A43" s="4" t="inlineStr">
        <is>
          <t>EMP-1040</t>
        </is>
      </c>
      <c r="B43" s="5" t="inlineStr">
        <is>
          <t>Operador de Montagem I / II / III</t>
        </is>
      </c>
      <c r="C43" s="4" t="inlineStr">
        <is>
          <t>Operacional</t>
        </is>
      </c>
      <c r="D43" s="5" t="inlineStr">
        <is>
          <t>Chão de Fábrica</t>
        </is>
      </c>
      <c r="E43" s="8" t="n">
        <v>4452.95</v>
      </c>
      <c r="F43" s="8">
        <f>E43*0.45</f>
        <v/>
      </c>
      <c r="G43" s="8">
        <f>E43+F43</f>
        <v/>
      </c>
      <c r="H43" s="7" t="n">
        <v>6</v>
      </c>
      <c r="I43" s="9">
        <f>H43/(180*0.714)</f>
        <v/>
      </c>
    </row>
    <row r="44">
      <c r="A44" s="4" t="inlineStr">
        <is>
          <t>EMP-1041</t>
        </is>
      </c>
      <c r="B44" s="5" t="inlineStr">
        <is>
          <t>Operador de Montagem I / II / III</t>
        </is>
      </c>
      <c r="C44" s="4" t="inlineStr">
        <is>
          <t>Operacional</t>
        </is>
      </c>
      <c r="D44" s="5" t="inlineStr">
        <is>
          <t>Chão de Fábrica</t>
        </is>
      </c>
      <c r="E44" s="8" t="n">
        <v>3940.78</v>
      </c>
      <c r="F44" s="8">
        <f>E44*0.45</f>
        <v/>
      </c>
      <c r="G44" s="8">
        <f>E44+F44</f>
        <v/>
      </c>
      <c r="H44" s="7" t="n">
        <v>10</v>
      </c>
      <c r="I44" s="9">
        <f>H44/(180*0.714)</f>
        <v/>
      </c>
    </row>
    <row r="45">
      <c r="A45" s="4" t="inlineStr">
        <is>
          <t>EMP-1042</t>
        </is>
      </c>
      <c r="B45" s="5" t="inlineStr">
        <is>
          <t>Operador de Montagem I / II / III</t>
        </is>
      </c>
      <c r="C45" s="4" t="inlineStr">
        <is>
          <t>Operacional</t>
        </is>
      </c>
      <c r="D45" s="5" t="inlineStr">
        <is>
          <t>Chão de Fábrica</t>
        </is>
      </c>
      <c r="E45" s="8" t="n">
        <v>3683.45</v>
      </c>
      <c r="F45" s="8">
        <f>E45*0.45</f>
        <v/>
      </c>
      <c r="G45" s="8">
        <f>E45+F45</f>
        <v/>
      </c>
      <c r="H45" s="7" t="n">
        <v>4</v>
      </c>
      <c r="I45" s="9">
        <f>H45/(180*0.714)</f>
        <v/>
      </c>
    </row>
    <row r="46">
      <c r="A46" s="4" t="inlineStr">
        <is>
          <t>EMP-1043</t>
        </is>
      </c>
      <c r="B46" s="5" t="inlineStr">
        <is>
          <t>Operador de Montagem I / II / III</t>
        </is>
      </c>
      <c r="C46" s="4" t="inlineStr">
        <is>
          <t>Operacional</t>
        </is>
      </c>
      <c r="D46" s="5" t="inlineStr">
        <is>
          <t>Chão de Fábrica</t>
        </is>
      </c>
      <c r="E46" s="8" t="n">
        <v>3555.81</v>
      </c>
      <c r="F46" s="8">
        <f>E46*0.45</f>
        <v/>
      </c>
      <c r="G46" s="8">
        <f>E46+F46</f>
        <v/>
      </c>
      <c r="H46" s="7" t="n">
        <v>9</v>
      </c>
      <c r="I46" s="9">
        <f>H46/(180*0.714)</f>
        <v/>
      </c>
    </row>
    <row r="47">
      <c r="A47" s="4" t="inlineStr">
        <is>
          <t>EMP-1044</t>
        </is>
      </c>
      <c r="B47" s="5" t="inlineStr">
        <is>
          <t>Operador de Montagem I / II / III</t>
        </is>
      </c>
      <c r="C47" s="4" t="inlineStr">
        <is>
          <t>Operacional</t>
        </is>
      </c>
      <c r="D47" s="5" t="inlineStr">
        <is>
          <t>Chão de Fábrica</t>
        </is>
      </c>
      <c r="E47" s="8" t="n">
        <v>3701.52</v>
      </c>
      <c r="F47" s="8">
        <f>E47*0.45</f>
        <v/>
      </c>
      <c r="G47" s="8">
        <f>E47+F47</f>
        <v/>
      </c>
      <c r="H47" s="7" t="n">
        <v>7</v>
      </c>
      <c r="I47" s="9">
        <f>H47/(180*0.714)</f>
        <v/>
      </c>
    </row>
    <row r="48">
      <c r="A48" s="4" t="inlineStr">
        <is>
          <t>EMP-1045</t>
        </is>
      </c>
      <c r="B48" s="5" t="inlineStr">
        <is>
          <t>Operador de Montagem I / II / III</t>
        </is>
      </c>
      <c r="C48" s="4" t="inlineStr">
        <is>
          <t>Operacional</t>
        </is>
      </c>
      <c r="D48" s="5" t="inlineStr">
        <is>
          <t>Chão de Fábrica</t>
        </is>
      </c>
      <c r="E48" s="8" t="n">
        <v>4602.59</v>
      </c>
      <c r="F48" s="8">
        <f>E48*0.45</f>
        <v/>
      </c>
      <c r="G48" s="8">
        <f>E48+F48</f>
        <v/>
      </c>
      <c r="H48" s="7" t="n">
        <v>6</v>
      </c>
      <c r="I48" s="9">
        <f>H48/(180*0.714)</f>
        <v/>
      </c>
    </row>
    <row r="49">
      <c r="A49" s="4" t="inlineStr">
        <is>
          <t>EMP-1046</t>
        </is>
      </c>
      <c r="B49" s="5" t="inlineStr">
        <is>
          <t>Operador de Montagem I / II / III</t>
        </is>
      </c>
      <c r="C49" s="4" t="inlineStr">
        <is>
          <t>Operacional</t>
        </is>
      </c>
      <c r="D49" s="5" t="inlineStr">
        <is>
          <t>Chão de Fábrica</t>
        </is>
      </c>
      <c r="E49" s="8" t="n">
        <v>3382.45</v>
      </c>
      <c r="F49" s="8">
        <f>E49*0.45</f>
        <v/>
      </c>
      <c r="G49" s="8">
        <f>E49+F49</f>
        <v/>
      </c>
      <c r="H49" s="7" t="n">
        <v>2</v>
      </c>
      <c r="I49" s="9">
        <f>H49/(180*0.714)</f>
        <v/>
      </c>
    </row>
    <row r="50">
      <c r="A50" s="4" t="inlineStr">
        <is>
          <t>EMP-1047</t>
        </is>
      </c>
      <c r="B50" s="5" t="inlineStr">
        <is>
          <t>Operador de Montagem I / II / III</t>
        </is>
      </c>
      <c r="C50" s="4" t="inlineStr">
        <is>
          <t>Operacional</t>
        </is>
      </c>
      <c r="D50" s="5" t="inlineStr">
        <is>
          <t>Chão de Fábrica</t>
        </is>
      </c>
      <c r="E50" s="8" t="n">
        <v>3336</v>
      </c>
      <c r="F50" s="8">
        <f>E50*0.45</f>
        <v/>
      </c>
      <c r="G50" s="8">
        <f>E50+F50</f>
        <v/>
      </c>
      <c r="H50" s="7" t="n">
        <v>4</v>
      </c>
      <c r="I50" s="9">
        <f>H50/(180*0.714)</f>
        <v/>
      </c>
    </row>
    <row r="51">
      <c r="A51" s="4" t="inlineStr">
        <is>
          <t>EMP-1048</t>
        </is>
      </c>
      <c r="B51" s="5" t="inlineStr">
        <is>
          <t>Operador de Montagem I / II / III</t>
        </is>
      </c>
      <c r="C51" s="4" t="inlineStr">
        <is>
          <t>Operacional</t>
        </is>
      </c>
      <c r="D51" s="5" t="inlineStr">
        <is>
          <t>Chão de Fábrica</t>
        </is>
      </c>
      <c r="E51" s="8" t="n">
        <v>4224.78</v>
      </c>
      <c r="F51" s="8">
        <f>E51*0.45</f>
        <v/>
      </c>
      <c r="G51" s="8">
        <f>E51+F51</f>
        <v/>
      </c>
      <c r="H51" s="7" t="n">
        <v>4</v>
      </c>
      <c r="I51" s="9">
        <f>H51/(180*0.714)</f>
        <v/>
      </c>
    </row>
    <row r="52">
      <c r="A52" s="4" t="inlineStr">
        <is>
          <t>EMP-1049</t>
        </is>
      </c>
      <c r="B52" s="5" t="inlineStr">
        <is>
          <t>Operador de Montagem I / II / III</t>
        </is>
      </c>
      <c r="C52" s="4" t="inlineStr">
        <is>
          <t>Operacional</t>
        </is>
      </c>
      <c r="D52" s="5" t="inlineStr">
        <is>
          <t>Chão de Fábrica</t>
        </is>
      </c>
      <c r="E52" s="8" t="n">
        <v>4595.85</v>
      </c>
      <c r="F52" s="8">
        <f>E52*0.45</f>
        <v/>
      </c>
      <c r="G52" s="8">
        <f>E52+F52</f>
        <v/>
      </c>
      <c r="H52" s="7" t="n">
        <v>12</v>
      </c>
      <c r="I52" s="9">
        <f>H52/(180*0.714)</f>
        <v/>
      </c>
    </row>
    <row r="53">
      <c r="A53" s="4" t="inlineStr">
        <is>
          <t>EMP-1050</t>
        </is>
      </c>
      <c r="B53" s="5" t="inlineStr">
        <is>
          <t>Operador de Montagem I / II / III</t>
        </is>
      </c>
      <c r="C53" s="4" t="inlineStr">
        <is>
          <t>Operacional</t>
        </is>
      </c>
      <c r="D53" s="5" t="inlineStr">
        <is>
          <t>Chão de Fábrica</t>
        </is>
      </c>
      <c r="E53" s="8" t="n">
        <v>4737.22</v>
      </c>
      <c r="F53" s="8">
        <f>E53*0.45</f>
        <v/>
      </c>
      <c r="G53" s="8">
        <f>E53+F53</f>
        <v/>
      </c>
      <c r="H53" s="7" t="n">
        <v>10</v>
      </c>
      <c r="I53" s="9">
        <f>H53/(180*0.714)</f>
        <v/>
      </c>
    </row>
    <row r="54">
      <c r="A54" s="4" t="inlineStr">
        <is>
          <t>EMP-1051</t>
        </is>
      </c>
      <c r="B54" s="5" t="inlineStr">
        <is>
          <t>Operador de Montagem I / II / III</t>
        </is>
      </c>
      <c r="C54" s="4" t="inlineStr">
        <is>
          <t>Operacional</t>
        </is>
      </c>
      <c r="D54" s="5" t="inlineStr">
        <is>
          <t>Chão de Fábrica</t>
        </is>
      </c>
      <c r="E54" s="8" t="n">
        <v>3579.81</v>
      </c>
      <c r="F54" s="8">
        <f>E54*0.45</f>
        <v/>
      </c>
      <c r="G54" s="8">
        <f>E54+F54</f>
        <v/>
      </c>
      <c r="H54" s="7" t="n">
        <v>6</v>
      </c>
      <c r="I54" s="9">
        <f>H54/(180*0.714)</f>
        <v/>
      </c>
    </row>
    <row r="55">
      <c r="A55" s="4" t="inlineStr">
        <is>
          <t>EMP-1052</t>
        </is>
      </c>
      <c r="B55" s="5" t="inlineStr">
        <is>
          <t>Operador de Montagem I / II / III</t>
        </is>
      </c>
      <c r="C55" s="4" t="inlineStr">
        <is>
          <t>Operacional</t>
        </is>
      </c>
      <c r="D55" s="5" t="inlineStr">
        <is>
          <t>Chão de Fábrica</t>
        </is>
      </c>
      <c r="E55" s="8" t="n">
        <v>3460.18</v>
      </c>
      <c r="F55" s="8">
        <f>E55*0.45</f>
        <v/>
      </c>
      <c r="G55" s="8">
        <f>E55+F55</f>
        <v/>
      </c>
      <c r="H55" s="7" t="n">
        <v>12</v>
      </c>
      <c r="I55" s="9">
        <f>H55/(180*0.714)</f>
        <v/>
      </c>
    </row>
    <row r="56">
      <c r="A56" s="4" t="inlineStr">
        <is>
          <t>EMP-1053</t>
        </is>
      </c>
      <c r="B56" s="5" t="inlineStr">
        <is>
          <t>Operador de Montagem I / II / III</t>
        </is>
      </c>
      <c r="C56" s="4" t="inlineStr">
        <is>
          <t>Operacional</t>
        </is>
      </c>
      <c r="D56" s="5" t="inlineStr">
        <is>
          <t>Chão de Fábrica</t>
        </is>
      </c>
      <c r="E56" s="8" t="n">
        <v>4283.29</v>
      </c>
      <c r="F56" s="8">
        <f>E56*0.45</f>
        <v/>
      </c>
      <c r="G56" s="8">
        <f>E56+F56</f>
        <v/>
      </c>
      <c r="H56" s="7" t="n">
        <v>6</v>
      </c>
      <c r="I56" s="9">
        <f>H56/(180*0.714)</f>
        <v/>
      </c>
    </row>
    <row r="57">
      <c r="A57" s="4" t="inlineStr">
        <is>
          <t>EMP-1054</t>
        </is>
      </c>
      <c r="B57" s="5" t="inlineStr">
        <is>
          <t>Operador de Montagem I / II / III</t>
        </is>
      </c>
      <c r="C57" s="4" t="inlineStr">
        <is>
          <t>Operacional</t>
        </is>
      </c>
      <c r="D57" s="5" t="inlineStr">
        <is>
          <t>Chão de Fábrica</t>
        </is>
      </c>
      <c r="E57" s="8" t="n">
        <v>3201.9</v>
      </c>
      <c r="F57" s="8">
        <f>E57*0.45</f>
        <v/>
      </c>
      <c r="G57" s="8">
        <f>E57+F57</f>
        <v/>
      </c>
      <c r="H57" s="7" t="n">
        <v>9</v>
      </c>
      <c r="I57" s="9">
        <f>H57/(180*0.714)</f>
        <v/>
      </c>
    </row>
    <row r="58">
      <c r="A58" s="4" t="inlineStr">
        <is>
          <t>EMP-1055</t>
        </is>
      </c>
      <c r="B58" s="5" t="inlineStr">
        <is>
          <t>Operador de Montagem I / II / III</t>
        </is>
      </c>
      <c r="C58" s="4" t="inlineStr">
        <is>
          <t>Operacional</t>
        </is>
      </c>
      <c r="D58" s="5" t="inlineStr">
        <is>
          <t>Chão de Fábrica</t>
        </is>
      </c>
      <c r="E58" s="8" t="n">
        <v>3256.03</v>
      </c>
      <c r="F58" s="8">
        <f>E58*0.45</f>
        <v/>
      </c>
      <c r="G58" s="8">
        <f>E58+F58</f>
        <v/>
      </c>
      <c r="H58" s="7" t="n">
        <v>13</v>
      </c>
      <c r="I58" s="9">
        <f>H58/(180*0.714)</f>
        <v/>
      </c>
    </row>
    <row r="59">
      <c r="A59" s="4" t="inlineStr">
        <is>
          <t>EMP-1056</t>
        </is>
      </c>
      <c r="B59" s="5" t="inlineStr">
        <is>
          <t>Operador de Montagem I / II / III</t>
        </is>
      </c>
      <c r="C59" s="4" t="inlineStr">
        <is>
          <t>Operacional</t>
        </is>
      </c>
      <c r="D59" s="5" t="inlineStr">
        <is>
          <t>Chão de Fábrica</t>
        </is>
      </c>
      <c r="E59" s="8" t="n">
        <v>4381.63</v>
      </c>
      <c r="F59" s="8">
        <f>E59*0.45</f>
        <v/>
      </c>
      <c r="G59" s="8">
        <f>E59+F59</f>
        <v/>
      </c>
      <c r="H59" s="7" t="n">
        <v>2</v>
      </c>
      <c r="I59" s="9">
        <f>H59/(180*0.714)</f>
        <v/>
      </c>
    </row>
    <row r="60">
      <c r="A60" s="4" t="inlineStr">
        <is>
          <t>EMP-1057</t>
        </is>
      </c>
      <c r="B60" s="5" t="inlineStr">
        <is>
          <t>Operador de Montagem I / II / III</t>
        </is>
      </c>
      <c r="C60" s="4" t="inlineStr">
        <is>
          <t>Operacional</t>
        </is>
      </c>
      <c r="D60" s="5" t="inlineStr">
        <is>
          <t>Chão de Fábrica</t>
        </is>
      </c>
      <c r="E60" s="8" t="n">
        <v>3838.21</v>
      </c>
      <c r="F60" s="8">
        <f>E60*0.45</f>
        <v/>
      </c>
      <c r="G60" s="8">
        <f>E60+F60</f>
        <v/>
      </c>
      <c r="H60" s="7" t="n">
        <v>5</v>
      </c>
      <c r="I60" s="9">
        <f>H60/(180*0.714)</f>
        <v/>
      </c>
    </row>
    <row r="61">
      <c r="A61" s="4" t="inlineStr">
        <is>
          <t>EMP-1058</t>
        </is>
      </c>
      <c r="B61" s="5" t="inlineStr">
        <is>
          <t>Operador de Montagem I / II / III</t>
        </is>
      </c>
      <c r="C61" s="4" t="inlineStr">
        <is>
          <t>Operacional</t>
        </is>
      </c>
      <c r="D61" s="5" t="inlineStr">
        <is>
          <t>Chão de Fábrica</t>
        </is>
      </c>
      <c r="E61" s="8" t="n">
        <v>3927.07</v>
      </c>
      <c r="F61" s="8">
        <f>E61*0.45</f>
        <v/>
      </c>
      <c r="G61" s="8">
        <f>E61+F61</f>
        <v/>
      </c>
      <c r="H61" s="7" t="n">
        <v>4</v>
      </c>
      <c r="I61" s="9">
        <f>H61/(180*0.714)</f>
        <v/>
      </c>
    </row>
    <row r="62">
      <c r="A62" s="4" t="inlineStr">
        <is>
          <t>EMP-1059</t>
        </is>
      </c>
      <c r="B62" s="5" t="inlineStr">
        <is>
          <t>Operador de Montagem I / II / III</t>
        </is>
      </c>
      <c r="C62" s="4" t="inlineStr">
        <is>
          <t>Operacional</t>
        </is>
      </c>
      <c r="D62" s="5" t="inlineStr">
        <is>
          <t>Chão de Fábrica</t>
        </is>
      </c>
      <c r="E62" s="8" t="n">
        <v>4754.91</v>
      </c>
      <c r="F62" s="8">
        <f>E62*0.45</f>
        <v/>
      </c>
      <c r="G62" s="8">
        <f>E62+F62</f>
        <v/>
      </c>
      <c r="H62" s="7" t="n">
        <v>1</v>
      </c>
      <c r="I62" s="9">
        <f>H62/(180*0.714)</f>
        <v/>
      </c>
    </row>
    <row r="63">
      <c r="A63" s="4" t="inlineStr">
        <is>
          <t>EMP-1060</t>
        </is>
      </c>
      <c r="B63" s="5" t="inlineStr">
        <is>
          <t>Operador de Montagem I / II / III</t>
        </is>
      </c>
      <c r="C63" s="4" t="inlineStr">
        <is>
          <t>Operacional</t>
        </is>
      </c>
      <c r="D63" s="5" t="inlineStr">
        <is>
          <t>Chão de Fábrica</t>
        </is>
      </c>
      <c r="E63" s="8" t="n">
        <v>4438.57</v>
      </c>
      <c r="F63" s="8">
        <f>E63*0.45</f>
        <v/>
      </c>
      <c r="G63" s="8">
        <f>E63+F63</f>
        <v/>
      </c>
      <c r="H63" s="7" t="n">
        <v>2</v>
      </c>
      <c r="I63" s="9">
        <f>H63/(180*0.714)</f>
        <v/>
      </c>
    </row>
    <row r="64">
      <c r="A64" s="4" t="inlineStr">
        <is>
          <t>EMP-1061</t>
        </is>
      </c>
      <c r="B64" s="5" t="inlineStr">
        <is>
          <t>Operador de Montagem I / II / III</t>
        </is>
      </c>
      <c r="C64" s="4" t="inlineStr">
        <is>
          <t>Operacional</t>
        </is>
      </c>
      <c r="D64" s="5" t="inlineStr">
        <is>
          <t>Chão de Fábrica</t>
        </is>
      </c>
      <c r="E64" s="8" t="n">
        <v>3408.84</v>
      </c>
      <c r="F64" s="8">
        <f>E64*0.45</f>
        <v/>
      </c>
      <c r="G64" s="8">
        <f>E64+F64</f>
        <v/>
      </c>
      <c r="H64" s="7" t="n">
        <v>7</v>
      </c>
      <c r="I64" s="9">
        <f>H64/(180*0.714)</f>
        <v/>
      </c>
    </row>
    <row r="65">
      <c r="A65" s="4" t="inlineStr">
        <is>
          <t>EMP-1062</t>
        </is>
      </c>
      <c r="B65" s="5" t="inlineStr">
        <is>
          <t>Operador de Montagem I / II / III</t>
        </is>
      </c>
      <c r="C65" s="4" t="inlineStr">
        <is>
          <t>Operacional</t>
        </is>
      </c>
      <c r="D65" s="5" t="inlineStr">
        <is>
          <t>Chão de Fábrica</t>
        </is>
      </c>
      <c r="E65" s="8" t="n">
        <v>3940.58</v>
      </c>
      <c r="F65" s="8">
        <f>E65*0.45</f>
        <v/>
      </c>
      <c r="G65" s="8">
        <f>E65+F65</f>
        <v/>
      </c>
      <c r="H65" s="7" t="n">
        <v>7</v>
      </c>
      <c r="I65" s="9">
        <f>H65/(180*0.714)</f>
        <v/>
      </c>
    </row>
    <row r="66">
      <c r="A66" s="4" t="inlineStr">
        <is>
          <t>EMP-1063</t>
        </is>
      </c>
      <c r="B66" s="5" t="inlineStr">
        <is>
          <t>Operador de Montagem I / II / III</t>
        </is>
      </c>
      <c r="C66" s="4" t="inlineStr">
        <is>
          <t>Operacional</t>
        </is>
      </c>
      <c r="D66" s="5" t="inlineStr">
        <is>
          <t>Chão de Fábrica</t>
        </is>
      </c>
      <c r="E66" s="8" t="n">
        <v>4344.05</v>
      </c>
      <c r="F66" s="8">
        <f>E66*0.45</f>
        <v/>
      </c>
      <c r="G66" s="8">
        <f>E66+F66</f>
        <v/>
      </c>
      <c r="H66" s="7" t="n">
        <v>13</v>
      </c>
      <c r="I66" s="9">
        <f>H66/(180*0.714)</f>
        <v/>
      </c>
    </row>
    <row r="67">
      <c r="A67" s="4" t="inlineStr">
        <is>
          <t>EMP-1064</t>
        </is>
      </c>
      <c r="B67" s="5" t="inlineStr">
        <is>
          <t>Operador de Montagem I / II / III</t>
        </is>
      </c>
      <c r="C67" s="4" t="inlineStr">
        <is>
          <t>Operacional</t>
        </is>
      </c>
      <c r="D67" s="5" t="inlineStr">
        <is>
          <t>Chão de Fábrica</t>
        </is>
      </c>
      <c r="E67" s="8" t="n">
        <v>3872.87</v>
      </c>
      <c r="F67" s="8">
        <f>E67*0.45</f>
        <v/>
      </c>
      <c r="G67" s="8">
        <f>E67+F67</f>
        <v/>
      </c>
      <c r="H67" s="7" t="n">
        <v>2</v>
      </c>
      <c r="I67" s="9">
        <f>H67/(180*0.714)</f>
        <v/>
      </c>
    </row>
    <row r="68">
      <c r="A68" s="4" t="inlineStr">
        <is>
          <t>EMP-1065</t>
        </is>
      </c>
      <c r="B68" s="5" t="inlineStr">
        <is>
          <t>Operador de Montagem I / II / III</t>
        </is>
      </c>
      <c r="C68" s="4" t="inlineStr">
        <is>
          <t>Operacional</t>
        </is>
      </c>
      <c r="D68" s="5" t="inlineStr">
        <is>
          <t>Chão de Fábrica</t>
        </is>
      </c>
      <c r="E68" s="8" t="n">
        <v>4541.68</v>
      </c>
      <c r="F68" s="8">
        <f>E68*0.45</f>
        <v/>
      </c>
      <c r="G68" s="8">
        <f>E68+F68</f>
        <v/>
      </c>
      <c r="H68" s="7" t="n">
        <v>3</v>
      </c>
      <c r="I68" s="9">
        <f>H68/(180*0.714)</f>
        <v/>
      </c>
    </row>
    <row r="69">
      <c r="A69" s="4" t="inlineStr">
        <is>
          <t>EMP-1066</t>
        </is>
      </c>
      <c r="B69" s="5" t="inlineStr">
        <is>
          <t>Operador de Montagem I / II / III</t>
        </is>
      </c>
      <c r="C69" s="4" t="inlineStr">
        <is>
          <t>Operacional</t>
        </is>
      </c>
      <c r="D69" s="5" t="inlineStr">
        <is>
          <t>Chão de Fábrica</t>
        </is>
      </c>
      <c r="E69" s="8" t="n">
        <v>4765.88</v>
      </c>
      <c r="F69" s="8">
        <f>E69*0.45</f>
        <v/>
      </c>
      <c r="G69" s="8">
        <f>E69+F69</f>
        <v/>
      </c>
      <c r="H69" s="7" t="n">
        <v>1</v>
      </c>
      <c r="I69" s="9">
        <f>H69/(180*0.714)</f>
        <v/>
      </c>
    </row>
    <row r="70">
      <c r="A70" s="4" t="inlineStr">
        <is>
          <t>EMP-1067</t>
        </is>
      </c>
      <c r="B70" s="5" t="inlineStr">
        <is>
          <t>Operador de Montagem I / II / III</t>
        </is>
      </c>
      <c r="C70" s="4" t="inlineStr">
        <is>
          <t>Operacional</t>
        </is>
      </c>
      <c r="D70" s="5" t="inlineStr">
        <is>
          <t>Chão de Fábrica</t>
        </is>
      </c>
      <c r="E70" s="8" t="n">
        <v>3881.2</v>
      </c>
      <c r="F70" s="8">
        <f>E70*0.45</f>
        <v/>
      </c>
      <c r="G70" s="8">
        <f>E70+F70</f>
        <v/>
      </c>
      <c r="H70" s="7" t="n">
        <v>1</v>
      </c>
      <c r="I70" s="9">
        <f>H70/(180*0.714)</f>
        <v/>
      </c>
    </row>
    <row r="71">
      <c r="A71" s="4" t="inlineStr">
        <is>
          <t>EMP-1068</t>
        </is>
      </c>
      <c r="B71" s="5" t="inlineStr">
        <is>
          <t>Operador de Montagem I / II / III</t>
        </is>
      </c>
      <c r="C71" s="4" t="inlineStr">
        <is>
          <t>Operacional</t>
        </is>
      </c>
      <c r="D71" s="5" t="inlineStr">
        <is>
          <t>Chão de Fábrica</t>
        </is>
      </c>
      <c r="E71" s="8" t="n">
        <v>3994.44</v>
      </c>
      <c r="F71" s="8">
        <f>E71*0.45</f>
        <v/>
      </c>
      <c r="G71" s="8">
        <f>E71+F71</f>
        <v/>
      </c>
      <c r="H71" s="7" t="n">
        <v>11</v>
      </c>
      <c r="I71" s="9">
        <f>H71/(180*0.714)</f>
        <v/>
      </c>
    </row>
    <row r="72">
      <c r="A72" s="4" t="inlineStr">
        <is>
          <t>EMP-1069</t>
        </is>
      </c>
      <c r="B72" s="5" t="inlineStr">
        <is>
          <t>Operador de Montagem I / II / III</t>
        </is>
      </c>
      <c r="C72" s="4" t="inlineStr">
        <is>
          <t>Operacional</t>
        </is>
      </c>
      <c r="D72" s="5" t="inlineStr">
        <is>
          <t>Chão de Fábrica</t>
        </is>
      </c>
      <c r="E72" s="8" t="n">
        <v>4772.25</v>
      </c>
      <c r="F72" s="8">
        <f>E72*0.45</f>
        <v/>
      </c>
      <c r="G72" s="8">
        <f>E72+F72</f>
        <v/>
      </c>
      <c r="H72" s="7" t="n">
        <v>5</v>
      </c>
      <c r="I72" s="9">
        <f>H72/(180*0.714)</f>
        <v/>
      </c>
    </row>
    <row r="73">
      <c r="A73" s="4" t="inlineStr">
        <is>
          <t>EMP-1070</t>
        </is>
      </c>
      <c r="B73" s="5" t="inlineStr">
        <is>
          <t>Operador de Montagem I / II / III</t>
        </is>
      </c>
      <c r="C73" s="4" t="inlineStr">
        <is>
          <t>Operacional</t>
        </is>
      </c>
      <c r="D73" s="5" t="inlineStr">
        <is>
          <t>Chão de Fábrica</t>
        </is>
      </c>
      <c r="E73" s="8" t="n">
        <v>4363.54</v>
      </c>
      <c r="F73" s="8">
        <f>E73*0.45</f>
        <v/>
      </c>
      <c r="G73" s="8">
        <f>E73+F73</f>
        <v/>
      </c>
      <c r="H73" s="7" t="n">
        <v>10</v>
      </c>
      <c r="I73" s="9">
        <f>H73/(180*0.714)</f>
        <v/>
      </c>
    </row>
    <row r="74">
      <c r="A74" s="4" t="inlineStr">
        <is>
          <t>EMP-1071</t>
        </is>
      </c>
      <c r="B74" s="5" t="inlineStr">
        <is>
          <t>Operador de Montagem I / II / III</t>
        </is>
      </c>
      <c r="C74" s="4" t="inlineStr">
        <is>
          <t>Operacional</t>
        </is>
      </c>
      <c r="D74" s="5" t="inlineStr">
        <is>
          <t>Chão de Fábrica</t>
        </is>
      </c>
      <c r="E74" s="8" t="n">
        <v>3939.81</v>
      </c>
      <c r="F74" s="8">
        <f>E74*0.45</f>
        <v/>
      </c>
      <c r="G74" s="8">
        <f>E74+F74</f>
        <v/>
      </c>
      <c r="H74" s="7" t="n">
        <v>1</v>
      </c>
      <c r="I74" s="9">
        <f>H74/(180*0.714)</f>
        <v/>
      </c>
    </row>
    <row r="75">
      <c r="A75" s="4" t="inlineStr">
        <is>
          <t>EMP-1072</t>
        </is>
      </c>
      <c r="B75" s="5" t="inlineStr">
        <is>
          <t>Operador de Montagem I / II / III</t>
        </is>
      </c>
      <c r="C75" s="4" t="inlineStr">
        <is>
          <t>Operacional</t>
        </is>
      </c>
      <c r="D75" s="5" t="inlineStr">
        <is>
          <t>Chão de Fábrica</t>
        </is>
      </c>
      <c r="E75" s="8" t="n">
        <v>3781.63</v>
      </c>
      <c r="F75" s="8">
        <f>E75*0.45</f>
        <v/>
      </c>
      <c r="G75" s="8">
        <f>E75+F75</f>
        <v/>
      </c>
      <c r="H75" s="7" t="n">
        <v>10</v>
      </c>
      <c r="I75" s="9">
        <f>H75/(180*0.714)</f>
        <v/>
      </c>
    </row>
    <row r="76">
      <c r="A76" s="4" t="inlineStr">
        <is>
          <t>EMP-1073</t>
        </is>
      </c>
      <c r="B76" s="5" t="inlineStr">
        <is>
          <t>Operador de Montagem I / II / III</t>
        </is>
      </c>
      <c r="C76" s="4" t="inlineStr">
        <is>
          <t>Operacional</t>
        </is>
      </c>
      <c r="D76" s="5" t="inlineStr">
        <is>
          <t>Chão de Fábrica</t>
        </is>
      </c>
      <c r="E76" s="8" t="n">
        <v>4351.39</v>
      </c>
      <c r="F76" s="8">
        <f>E76*0.45</f>
        <v/>
      </c>
      <c r="G76" s="8">
        <f>E76+F76</f>
        <v/>
      </c>
      <c r="H76" s="7" t="n">
        <v>8</v>
      </c>
      <c r="I76" s="9">
        <f>H76/(180*0.714)</f>
        <v/>
      </c>
    </row>
    <row r="77">
      <c r="A77" s="4" t="inlineStr">
        <is>
          <t>EMP-1074</t>
        </is>
      </c>
      <c r="B77" s="5" t="inlineStr">
        <is>
          <t>Operador de Montagem I / II / III</t>
        </is>
      </c>
      <c r="C77" s="4" t="inlineStr">
        <is>
          <t>Operacional</t>
        </is>
      </c>
      <c r="D77" s="5" t="inlineStr">
        <is>
          <t>Chão de Fábrica</t>
        </is>
      </c>
      <c r="E77" s="8" t="n">
        <v>4198.25</v>
      </c>
      <c r="F77" s="8">
        <f>E77*0.45</f>
        <v/>
      </c>
      <c r="G77" s="8">
        <f>E77+F77</f>
        <v/>
      </c>
      <c r="H77" s="7" t="n">
        <v>8</v>
      </c>
      <c r="I77" s="9">
        <f>H77/(180*0.714)</f>
        <v/>
      </c>
    </row>
    <row r="78">
      <c r="A78" s="4" t="inlineStr">
        <is>
          <t>EMP-1075</t>
        </is>
      </c>
      <c r="B78" s="5" t="inlineStr">
        <is>
          <t>Operador de Montagem I / II / III</t>
        </is>
      </c>
      <c r="C78" s="4" t="inlineStr">
        <is>
          <t>Operacional</t>
        </is>
      </c>
      <c r="D78" s="5" t="inlineStr">
        <is>
          <t>Chão de Fábrica</t>
        </is>
      </c>
      <c r="E78" s="8" t="n">
        <v>3439.69</v>
      </c>
      <c r="F78" s="8">
        <f>E78*0.45</f>
        <v/>
      </c>
      <c r="G78" s="8">
        <f>E78+F78</f>
        <v/>
      </c>
      <c r="H78" s="7" t="n">
        <v>10</v>
      </c>
      <c r="I78" s="9">
        <f>H78/(180*0.714)</f>
        <v/>
      </c>
    </row>
    <row r="79">
      <c r="A79" s="4" t="inlineStr">
        <is>
          <t>EMP-1076</t>
        </is>
      </c>
      <c r="B79" s="5" t="inlineStr">
        <is>
          <t>Operador de Montagem I / II / III</t>
        </is>
      </c>
      <c r="C79" s="4" t="inlineStr">
        <is>
          <t>Operacional</t>
        </is>
      </c>
      <c r="D79" s="5" t="inlineStr">
        <is>
          <t>Chão de Fábrica</t>
        </is>
      </c>
      <c r="E79" s="8" t="n">
        <v>4316.27</v>
      </c>
      <c r="F79" s="8">
        <f>E79*0.45</f>
        <v/>
      </c>
      <c r="G79" s="8">
        <f>E79+F79</f>
        <v/>
      </c>
      <c r="H79" s="7" t="n">
        <v>1</v>
      </c>
      <c r="I79" s="9">
        <f>H79/(180*0.714)</f>
        <v/>
      </c>
    </row>
    <row r="80">
      <c r="A80" s="4" t="inlineStr">
        <is>
          <t>EMP-1077</t>
        </is>
      </c>
      <c r="B80" s="5" t="inlineStr">
        <is>
          <t>Operador de Montagem I / II / III</t>
        </is>
      </c>
      <c r="C80" s="4" t="inlineStr">
        <is>
          <t>Operacional</t>
        </is>
      </c>
      <c r="D80" s="5" t="inlineStr">
        <is>
          <t>Chão de Fábrica</t>
        </is>
      </c>
      <c r="E80" s="8" t="n">
        <v>3218.59</v>
      </c>
      <c r="F80" s="8">
        <f>E80*0.45</f>
        <v/>
      </c>
      <c r="G80" s="8">
        <f>E80+F80</f>
        <v/>
      </c>
      <c r="H80" s="7" t="n">
        <v>7</v>
      </c>
      <c r="I80" s="9">
        <f>H80/(180*0.714)</f>
        <v/>
      </c>
    </row>
    <row r="81">
      <c r="A81" s="4" t="inlineStr">
        <is>
          <t>EMP-1078</t>
        </is>
      </c>
      <c r="B81" s="5" t="inlineStr">
        <is>
          <t>Operador de Montagem I / II / III</t>
        </is>
      </c>
      <c r="C81" s="4" t="inlineStr">
        <is>
          <t>Operacional</t>
        </is>
      </c>
      <c r="D81" s="5" t="inlineStr">
        <is>
          <t>Chão de Fábrica</t>
        </is>
      </c>
      <c r="E81" s="8" t="n">
        <v>4729.73</v>
      </c>
      <c r="F81" s="8">
        <f>E81*0.45</f>
        <v/>
      </c>
      <c r="G81" s="8">
        <f>E81+F81</f>
        <v/>
      </c>
      <c r="H81" s="7" t="n">
        <v>13</v>
      </c>
      <c r="I81" s="9">
        <f>H81/(180*0.714)</f>
        <v/>
      </c>
    </row>
    <row r="82">
      <c r="A82" s="4" t="inlineStr">
        <is>
          <t>EMP-1079</t>
        </is>
      </c>
      <c r="B82" s="5" t="inlineStr">
        <is>
          <t>Operador de Montagem I / II / III</t>
        </is>
      </c>
      <c r="C82" s="4" t="inlineStr">
        <is>
          <t>Operacional</t>
        </is>
      </c>
      <c r="D82" s="5" t="inlineStr">
        <is>
          <t>Chão de Fábrica</t>
        </is>
      </c>
      <c r="E82" s="8" t="n">
        <v>3368.29</v>
      </c>
      <c r="F82" s="8">
        <f>E82*0.45</f>
        <v/>
      </c>
      <c r="G82" s="8">
        <f>E82+F82</f>
        <v/>
      </c>
      <c r="H82" s="7" t="n">
        <v>10</v>
      </c>
      <c r="I82" s="9">
        <f>H82/(180*0.714)</f>
        <v/>
      </c>
    </row>
    <row r="83">
      <c r="A83" s="4" t="inlineStr">
        <is>
          <t>EMP-1080</t>
        </is>
      </c>
      <c r="B83" s="5" t="inlineStr">
        <is>
          <t>Operador de Montagem I / II / III</t>
        </is>
      </c>
      <c r="C83" s="4" t="inlineStr">
        <is>
          <t>Operacional</t>
        </is>
      </c>
      <c r="D83" s="5" t="inlineStr">
        <is>
          <t>Chão de Fábrica</t>
        </is>
      </c>
      <c r="E83" s="8" t="n">
        <v>3472.19</v>
      </c>
      <c r="F83" s="8">
        <f>E83*0.45</f>
        <v/>
      </c>
      <c r="G83" s="8">
        <f>E83+F83</f>
        <v/>
      </c>
      <c r="H83" s="7" t="n">
        <v>8</v>
      </c>
      <c r="I83" s="9">
        <f>H83/(180*0.714)</f>
        <v/>
      </c>
    </row>
    <row r="84">
      <c r="A84" s="4" t="inlineStr">
        <is>
          <t>EMP-1081</t>
        </is>
      </c>
      <c r="B84" s="5" t="inlineStr">
        <is>
          <t>Operador de Montagem I / II / III</t>
        </is>
      </c>
      <c r="C84" s="4" t="inlineStr">
        <is>
          <t>Operacional</t>
        </is>
      </c>
      <c r="D84" s="5" t="inlineStr">
        <is>
          <t>Chão de Fábrica</t>
        </is>
      </c>
      <c r="E84" s="8" t="n">
        <v>4165.21</v>
      </c>
      <c r="F84" s="8">
        <f>E84*0.45</f>
        <v/>
      </c>
      <c r="G84" s="8">
        <f>E84+F84</f>
        <v/>
      </c>
      <c r="H84" s="7" t="n">
        <v>1</v>
      </c>
      <c r="I84" s="9">
        <f>H84/(180*0.714)</f>
        <v/>
      </c>
    </row>
    <row r="85">
      <c r="A85" s="4" t="inlineStr">
        <is>
          <t>EMP-1082</t>
        </is>
      </c>
      <c r="B85" s="5" t="inlineStr">
        <is>
          <t>Operador de Montagem I / II / III</t>
        </is>
      </c>
      <c r="C85" s="4" t="inlineStr">
        <is>
          <t>Operacional</t>
        </is>
      </c>
      <c r="D85" s="5" t="inlineStr">
        <is>
          <t>Chão de Fábrica</t>
        </is>
      </c>
      <c r="E85" s="8" t="n">
        <v>3832.52</v>
      </c>
      <c r="F85" s="8">
        <f>E85*0.45</f>
        <v/>
      </c>
      <c r="G85" s="8">
        <f>E85+F85</f>
        <v/>
      </c>
      <c r="H85" s="7" t="n">
        <v>13</v>
      </c>
      <c r="I85" s="9">
        <f>H85/(180*0.714)</f>
        <v/>
      </c>
    </row>
    <row r="86">
      <c r="A86" s="4" t="inlineStr">
        <is>
          <t>EMP-1083</t>
        </is>
      </c>
      <c r="B86" s="5" t="inlineStr">
        <is>
          <t>Operador de Montagem I / II / III</t>
        </is>
      </c>
      <c r="C86" s="4" t="inlineStr">
        <is>
          <t>Operacional</t>
        </is>
      </c>
      <c r="D86" s="5" t="inlineStr">
        <is>
          <t>Chão de Fábrica</t>
        </is>
      </c>
      <c r="E86" s="8" t="n">
        <v>4335.67</v>
      </c>
      <c r="F86" s="8">
        <f>E86*0.45</f>
        <v/>
      </c>
      <c r="G86" s="8">
        <f>E86+F86</f>
        <v/>
      </c>
      <c r="H86" s="7" t="n">
        <v>5</v>
      </c>
      <c r="I86" s="9">
        <f>H86/(180*0.714)</f>
        <v/>
      </c>
    </row>
    <row r="87">
      <c r="A87" s="4" t="inlineStr">
        <is>
          <t>EMP-1084</t>
        </is>
      </c>
      <c r="B87" s="5" t="inlineStr">
        <is>
          <t>Operador de Montagem I / II / III</t>
        </is>
      </c>
      <c r="C87" s="4" t="inlineStr">
        <is>
          <t>Operacional</t>
        </is>
      </c>
      <c r="D87" s="5" t="inlineStr">
        <is>
          <t>Chão de Fábrica</t>
        </is>
      </c>
      <c r="E87" s="8" t="n">
        <v>3201.97</v>
      </c>
      <c r="F87" s="8">
        <f>E87*0.45</f>
        <v/>
      </c>
      <c r="G87" s="8">
        <f>E87+F87</f>
        <v/>
      </c>
      <c r="H87" s="7" t="n">
        <v>12</v>
      </c>
      <c r="I87" s="9">
        <f>H87/(180*0.714)</f>
        <v/>
      </c>
    </row>
    <row r="88">
      <c r="A88" s="4" t="inlineStr">
        <is>
          <t>EMP-1085</t>
        </is>
      </c>
      <c r="B88" s="5" t="inlineStr">
        <is>
          <t>Operador de Montagem I / II / III</t>
        </is>
      </c>
      <c r="C88" s="4" t="inlineStr">
        <is>
          <t>Operacional</t>
        </is>
      </c>
      <c r="D88" s="5" t="inlineStr">
        <is>
          <t>Chão de Fábrica</t>
        </is>
      </c>
      <c r="E88" s="8" t="n">
        <v>3391.23</v>
      </c>
      <c r="F88" s="8">
        <f>E88*0.45</f>
        <v/>
      </c>
      <c r="G88" s="8">
        <f>E88+F88</f>
        <v/>
      </c>
      <c r="H88" s="7" t="n">
        <v>9</v>
      </c>
      <c r="I88" s="9">
        <f>H88/(180*0.714)</f>
        <v/>
      </c>
    </row>
    <row r="89">
      <c r="A89" s="4" t="inlineStr">
        <is>
          <t>EMP-1086</t>
        </is>
      </c>
      <c r="B89" s="5" t="inlineStr">
        <is>
          <t>Operador de Montagem I / II / III</t>
        </is>
      </c>
      <c r="C89" s="4" t="inlineStr">
        <is>
          <t>Operacional</t>
        </is>
      </c>
      <c r="D89" s="5" t="inlineStr">
        <is>
          <t>Chão de Fábrica</t>
        </is>
      </c>
      <c r="E89" s="8" t="n">
        <v>3848.94</v>
      </c>
      <c r="F89" s="8">
        <f>E89*0.45</f>
        <v/>
      </c>
      <c r="G89" s="8">
        <f>E89+F89</f>
        <v/>
      </c>
      <c r="H89" s="7" t="n">
        <v>10</v>
      </c>
      <c r="I89" s="9">
        <f>H89/(180*0.714)</f>
        <v/>
      </c>
    </row>
    <row r="90">
      <c r="A90" s="4" t="inlineStr">
        <is>
          <t>EMP-1087</t>
        </is>
      </c>
      <c r="B90" s="5" t="inlineStr">
        <is>
          <t>Operador de Montagem I / II / III</t>
        </is>
      </c>
      <c r="C90" s="4" t="inlineStr">
        <is>
          <t>Operacional</t>
        </is>
      </c>
      <c r="D90" s="5" t="inlineStr">
        <is>
          <t>Chão de Fábrica</t>
        </is>
      </c>
      <c r="E90" s="8" t="n">
        <v>4166.61</v>
      </c>
      <c r="F90" s="8">
        <f>E90*0.45</f>
        <v/>
      </c>
      <c r="G90" s="8">
        <f>E90+F90</f>
        <v/>
      </c>
      <c r="H90" s="7" t="n">
        <v>2</v>
      </c>
      <c r="I90" s="9">
        <f>H90/(180*0.714)</f>
        <v/>
      </c>
    </row>
    <row r="91">
      <c r="A91" s="4" t="inlineStr">
        <is>
          <t>EMP-1088</t>
        </is>
      </c>
      <c r="B91" s="5" t="inlineStr">
        <is>
          <t>Analista de Qualidade / Processos</t>
        </is>
      </c>
      <c r="C91" s="4" t="inlineStr">
        <is>
          <t>Analista</t>
        </is>
      </c>
      <c r="D91" s="5" t="inlineStr">
        <is>
          <t>Engenharia / Qualidade</t>
        </is>
      </c>
      <c r="E91" s="8" t="n">
        <v>7539.42</v>
      </c>
      <c r="F91" s="8">
        <f>E91*0.45</f>
        <v/>
      </c>
      <c r="G91" s="8">
        <f>E91+F91</f>
        <v/>
      </c>
      <c r="H91" s="7" t="n">
        <v>1</v>
      </c>
      <c r="I91" s="9">
        <f>H91/(180*0.714)</f>
        <v/>
      </c>
    </row>
    <row r="92">
      <c r="A92" s="4" t="inlineStr">
        <is>
          <t>EMP-1089</t>
        </is>
      </c>
      <c r="B92" s="5" t="inlineStr">
        <is>
          <t>Analista de Qualidade / Processos</t>
        </is>
      </c>
      <c r="C92" s="4" t="inlineStr">
        <is>
          <t>Analista</t>
        </is>
      </c>
      <c r="D92" s="5" t="inlineStr">
        <is>
          <t>Engenharia / Qualidade</t>
        </is>
      </c>
      <c r="E92" s="8" t="n">
        <v>6854.05</v>
      </c>
      <c r="F92" s="8">
        <f>E92*0.45</f>
        <v/>
      </c>
      <c r="G92" s="8">
        <f>E92+F92</f>
        <v/>
      </c>
      <c r="H92" s="7" t="n">
        <v>1</v>
      </c>
      <c r="I92" s="9">
        <f>H92/(180*0.714)</f>
        <v/>
      </c>
    </row>
    <row r="93">
      <c r="A93" s="4" t="inlineStr">
        <is>
          <t>EMP-1090</t>
        </is>
      </c>
      <c r="B93" s="5" t="inlineStr">
        <is>
          <t>Analista de Qualidade / Processos</t>
        </is>
      </c>
      <c r="C93" s="4" t="inlineStr">
        <is>
          <t>Analista</t>
        </is>
      </c>
      <c r="D93" s="5" t="inlineStr">
        <is>
          <t>Engenharia / Qualidade</t>
        </is>
      </c>
      <c r="E93" s="8" t="n">
        <v>7284.71</v>
      </c>
      <c r="F93" s="8">
        <f>E93*0.45</f>
        <v/>
      </c>
      <c r="G93" s="8">
        <f>E93+F93</f>
        <v/>
      </c>
      <c r="H93" s="7" t="n">
        <v>3</v>
      </c>
      <c r="I93" s="9">
        <f>H93/(180*0.714)</f>
        <v/>
      </c>
    </row>
    <row r="94">
      <c r="A94" s="4" t="inlineStr">
        <is>
          <t>EMP-1091</t>
        </is>
      </c>
      <c r="B94" s="5" t="inlineStr">
        <is>
          <t>Analista de Qualidade / Processos</t>
        </is>
      </c>
      <c r="C94" s="4" t="inlineStr">
        <is>
          <t>Analista</t>
        </is>
      </c>
      <c r="D94" s="5" t="inlineStr">
        <is>
          <t>Engenharia / Qualidade</t>
        </is>
      </c>
      <c r="E94" s="8" t="n">
        <v>6965.36</v>
      </c>
      <c r="F94" s="8">
        <f>E94*0.45</f>
        <v/>
      </c>
      <c r="G94" s="8">
        <f>E94+F94</f>
        <v/>
      </c>
      <c r="H94" s="7" t="n">
        <v>2</v>
      </c>
      <c r="I94" s="9">
        <f>H94/(180*0.714)</f>
        <v/>
      </c>
    </row>
    <row r="95">
      <c r="A95" s="4" t="inlineStr">
        <is>
          <t>EMP-1092</t>
        </is>
      </c>
      <c r="B95" s="5" t="inlineStr">
        <is>
          <t>Analista de Qualidade / Processos</t>
        </is>
      </c>
      <c r="C95" s="4" t="inlineStr">
        <is>
          <t>Analista</t>
        </is>
      </c>
      <c r="D95" s="5" t="inlineStr">
        <is>
          <t>Engenharia / Qualidade</t>
        </is>
      </c>
      <c r="E95" s="8" t="n">
        <v>8386.9</v>
      </c>
      <c r="F95" s="8">
        <f>E95*0.45</f>
        <v/>
      </c>
      <c r="G95" s="8">
        <f>E95+F95</f>
        <v/>
      </c>
      <c r="H95" s="7" t="n">
        <v>5</v>
      </c>
      <c r="I95" s="9">
        <f>H95/(180*0.714)</f>
        <v/>
      </c>
    </row>
    <row r="96">
      <c r="A96" s="4" t="inlineStr">
        <is>
          <t>EMP-1093</t>
        </is>
      </c>
      <c r="B96" s="5" t="inlineStr">
        <is>
          <t>Analista de Qualidade / Processos</t>
        </is>
      </c>
      <c r="C96" s="4" t="inlineStr">
        <is>
          <t>Analista</t>
        </is>
      </c>
      <c r="D96" s="5" t="inlineStr">
        <is>
          <t>Engenharia / Qualidade</t>
        </is>
      </c>
      <c r="E96" s="8" t="n">
        <v>6561.69</v>
      </c>
      <c r="F96" s="8">
        <f>E96*0.45</f>
        <v/>
      </c>
      <c r="G96" s="8">
        <f>E96+F96</f>
        <v/>
      </c>
      <c r="H96" s="7" t="n">
        <v>4</v>
      </c>
      <c r="I96" s="9">
        <f>H96/(180*0.714)</f>
        <v/>
      </c>
    </row>
    <row r="97">
      <c r="A97" s="4" t="inlineStr">
        <is>
          <t>EMP-1094</t>
        </is>
      </c>
      <c r="B97" s="5" t="inlineStr">
        <is>
          <t>Analista de Qualidade / Processos</t>
        </is>
      </c>
      <c r="C97" s="4" t="inlineStr">
        <is>
          <t>Analista</t>
        </is>
      </c>
      <c r="D97" s="5" t="inlineStr">
        <is>
          <t>Engenharia / Qualidade</t>
        </is>
      </c>
      <c r="E97" s="8" t="n">
        <v>7578.74</v>
      </c>
      <c r="F97" s="8">
        <f>E97*0.45</f>
        <v/>
      </c>
      <c r="G97" s="8">
        <f>E97+F97</f>
        <v/>
      </c>
      <c r="H97" s="7" t="n">
        <v>0</v>
      </c>
      <c r="I97" s="9">
        <f>H97/(180*0.714)</f>
        <v/>
      </c>
    </row>
    <row r="98">
      <c r="A98" s="4" t="inlineStr">
        <is>
          <t>EMP-1095</t>
        </is>
      </c>
      <c r="B98" s="5" t="inlineStr">
        <is>
          <t>Analista de Qualidade / Processos</t>
        </is>
      </c>
      <c r="C98" s="4" t="inlineStr">
        <is>
          <t>Analista</t>
        </is>
      </c>
      <c r="D98" s="5" t="inlineStr">
        <is>
          <t>Engenharia / Qualidade</t>
        </is>
      </c>
      <c r="E98" s="8" t="n">
        <v>7508.28</v>
      </c>
      <c r="F98" s="8">
        <f>E98*0.45</f>
        <v/>
      </c>
      <c r="G98" s="8">
        <f>E98+F98</f>
        <v/>
      </c>
      <c r="H98" s="7" t="n">
        <v>4</v>
      </c>
      <c r="I98" s="9">
        <f>H98/(180*0.714)</f>
        <v/>
      </c>
    </row>
    <row r="99">
      <c r="A99" s="4" t="inlineStr">
        <is>
          <t>EMP-1096</t>
        </is>
      </c>
      <c r="B99" s="5" t="inlineStr">
        <is>
          <t>Analista de Qualidade / Processos</t>
        </is>
      </c>
      <c r="C99" s="4" t="inlineStr">
        <is>
          <t>Analista</t>
        </is>
      </c>
      <c r="D99" s="5" t="inlineStr">
        <is>
          <t>Engenharia / Qualidade</t>
        </is>
      </c>
      <c r="E99" s="8" t="n">
        <v>6789</v>
      </c>
      <c r="F99" s="8">
        <f>E99*0.45</f>
        <v/>
      </c>
      <c r="G99" s="8">
        <f>E99+F99</f>
        <v/>
      </c>
      <c r="H99" s="7" t="n">
        <v>0</v>
      </c>
      <c r="I99" s="9">
        <f>H99/(180*0.714)</f>
        <v/>
      </c>
    </row>
    <row r="100">
      <c r="A100" s="4" t="inlineStr">
        <is>
          <t>EMP-1097</t>
        </is>
      </c>
      <c r="B100" s="5" t="inlineStr">
        <is>
          <t>Analista de Qualidade / Processos</t>
        </is>
      </c>
      <c r="C100" s="4" t="inlineStr">
        <is>
          <t>Analista</t>
        </is>
      </c>
      <c r="D100" s="5" t="inlineStr">
        <is>
          <t>Engenharia / Qualidade</t>
        </is>
      </c>
      <c r="E100" s="8" t="n">
        <v>8215.110000000001</v>
      </c>
      <c r="F100" s="8">
        <f>E100*0.45</f>
        <v/>
      </c>
      <c r="G100" s="8">
        <f>E100+F100</f>
        <v/>
      </c>
      <c r="H100" s="7" t="n">
        <v>3</v>
      </c>
      <c r="I100" s="9">
        <f>H100/(180*0.714)</f>
        <v/>
      </c>
    </row>
    <row r="101">
      <c r="A101" s="4" t="inlineStr">
        <is>
          <t>EMP-1098</t>
        </is>
      </c>
      <c r="B101" s="5" t="inlineStr">
        <is>
          <t>Analista de Qualidade / Processos</t>
        </is>
      </c>
      <c r="C101" s="4" t="inlineStr">
        <is>
          <t>Analista</t>
        </is>
      </c>
      <c r="D101" s="5" t="inlineStr">
        <is>
          <t>Engenharia / Qualidade</t>
        </is>
      </c>
      <c r="E101" s="8" t="n">
        <v>8207.040000000001</v>
      </c>
      <c r="F101" s="8">
        <f>E101*0.45</f>
        <v/>
      </c>
      <c r="G101" s="8">
        <f>E101+F101</f>
        <v/>
      </c>
      <c r="H101" s="7" t="n">
        <v>4</v>
      </c>
      <c r="I101" s="9">
        <f>H101/(180*0.714)</f>
        <v/>
      </c>
    </row>
    <row r="102">
      <c r="A102" s="4" t="inlineStr">
        <is>
          <t>EMP-1099</t>
        </is>
      </c>
      <c r="B102" s="5" t="inlineStr">
        <is>
          <t>Analista de Qualidade / Processos</t>
        </is>
      </c>
      <c r="C102" s="4" t="inlineStr">
        <is>
          <t>Analista</t>
        </is>
      </c>
      <c r="D102" s="5" t="inlineStr">
        <is>
          <t>Engenharia / Qualidade</t>
        </is>
      </c>
      <c r="E102" s="8" t="n">
        <v>7882.31</v>
      </c>
      <c r="F102" s="8">
        <f>E102*0.45</f>
        <v/>
      </c>
      <c r="G102" s="8">
        <f>E102+F102</f>
        <v/>
      </c>
      <c r="H102" s="7" t="n">
        <v>3</v>
      </c>
      <c r="I102" s="9">
        <f>H102/(180*0.714)</f>
        <v/>
      </c>
    </row>
    <row r="103">
      <c r="A103" s="4" t="inlineStr">
        <is>
          <t>EMP-1100</t>
        </is>
      </c>
      <c r="B103" s="5" t="inlineStr">
        <is>
          <t>Analista de Qualidade / Processos</t>
        </is>
      </c>
      <c r="C103" s="4" t="inlineStr">
        <is>
          <t>Analista</t>
        </is>
      </c>
      <c r="D103" s="5" t="inlineStr">
        <is>
          <t>Engenharia / Qualidade</t>
        </is>
      </c>
      <c r="E103" s="8" t="n">
        <v>7925.67</v>
      </c>
      <c r="F103" s="8">
        <f>E103*0.45</f>
        <v/>
      </c>
      <c r="G103" s="8">
        <f>E103+F103</f>
        <v/>
      </c>
      <c r="H103" s="7" t="n">
        <v>3</v>
      </c>
      <c r="I103" s="9">
        <f>H103/(180*0.714)</f>
        <v/>
      </c>
    </row>
    <row r="104">
      <c r="A104" s="4" t="inlineStr">
        <is>
          <t>EMP-1101</t>
        </is>
      </c>
      <c r="B104" s="5" t="inlineStr">
        <is>
          <t>Analista de Qualidade / Processos</t>
        </is>
      </c>
      <c r="C104" s="4" t="inlineStr">
        <is>
          <t>Analista</t>
        </is>
      </c>
      <c r="D104" s="5" t="inlineStr">
        <is>
          <t>Engenharia / Qualidade</t>
        </is>
      </c>
      <c r="E104" s="8" t="n">
        <v>8036.05</v>
      </c>
      <c r="F104" s="8">
        <f>E104*0.45</f>
        <v/>
      </c>
      <c r="G104" s="8">
        <f>E104+F104</f>
        <v/>
      </c>
      <c r="H104" s="7" t="n">
        <v>1</v>
      </c>
      <c r="I104" s="9">
        <f>H104/(180*0.714)</f>
        <v/>
      </c>
    </row>
    <row r="105">
      <c r="A105" s="4" t="inlineStr">
        <is>
          <t>EMP-1102</t>
        </is>
      </c>
      <c r="B105" s="5" t="inlineStr">
        <is>
          <t>Analista de Qualidade / Processos</t>
        </is>
      </c>
      <c r="C105" s="4" t="inlineStr">
        <is>
          <t>Analista</t>
        </is>
      </c>
      <c r="D105" s="5" t="inlineStr">
        <is>
          <t>Engenharia / Qualidade</t>
        </is>
      </c>
      <c r="E105" s="8" t="n">
        <v>8019.79</v>
      </c>
      <c r="F105" s="8">
        <f>E105*0.45</f>
        <v/>
      </c>
      <c r="G105" s="8">
        <f>E105+F105</f>
        <v/>
      </c>
      <c r="H105" s="7" t="n">
        <v>3</v>
      </c>
      <c r="I105" s="9">
        <f>H105/(180*0.714)</f>
        <v/>
      </c>
    </row>
    <row r="106">
      <c r="A106" s="4" t="inlineStr">
        <is>
          <t>EMP-1103</t>
        </is>
      </c>
      <c r="B106" s="5" t="inlineStr">
        <is>
          <t>Analista de Qualidade / Processos</t>
        </is>
      </c>
      <c r="C106" s="4" t="inlineStr">
        <is>
          <t>Analista</t>
        </is>
      </c>
      <c r="D106" s="5" t="inlineStr">
        <is>
          <t>Engenharia / Qualidade</t>
        </is>
      </c>
      <c r="E106" s="8" t="n">
        <v>8151.81</v>
      </c>
      <c r="F106" s="8">
        <f>E106*0.45</f>
        <v/>
      </c>
      <c r="G106" s="8">
        <f>E106+F106</f>
        <v/>
      </c>
      <c r="H106" s="7" t="n">
        <v>2</v>
      </c>
      <c r="I106" s="9">
        <f>H106/(180*0.714)</f>
        <v/>
      </c>
    </row>
    <row r="107">
      <c r="A107" s="4" t="inlineStr">
        <is>
          <t>EMP-1104</t>
        </is>
      </c>
      <c r="B107" s="5" t="inlineStr">
        <is>
          <t>Analista de Qualidade / Processos</t>
        </is>
      </c>
      <c r="C107" s="4" t="inlineStr">
        <is>
          <t>Analista</t>
        </is>
      </c>
      <c r="D107" s="5" t="inlineStr">
        <is>
          <t>Engenharia / Qualidade</t>
        </is>
      </c>
      <c r="E107" s="8" t="n">
        <v>6778.1</v>
      </c>
      <c r="F107" s="8">
        <f>E107*0.45</f>
        <v/>
      </c>
      <c r="G107" s="8">
        <f>E107+F107</f>
        <v/>
      </c>
      <c r="H107" s="7" t="n">
        <v>5</v>
      </c>
      <c r="I107" s="9">
        <f>H107/(180*0.714)</f>
        <v/>
      </c>
    </row>
    <row r="108">
      <c r="A108" s="4" t="inlineStr">
        <is>
          <t>EMP-1105</t>
        </is>
      </c>
      <c r="B108" s="5" t="inlineStr">
        <is>
          <t>Analista de Qualidade / Processos</t>
        </is>
      </c>
      <c r="C108" s="4" t="inlineStr">
        <is>
          <t>Analista</t>
        </is>
      </c>
      <c r="D108" s="5" t="inlineStr">
        <is>
          <t>Engenharia / Qualidade</t>
        </is>
      </c>
      <c r="E108" s="8" t="n">
        <v>6525.09</v>
      </c>
      <c r="F108" s="8">
        <f>E108*0.45</f>
        <v/>
      </c>
      <c r="G108" s="8">
        <f>E108+F108</f>
        <v/>
      </c>
      <c r="H108" s="7" t="n">
        <v>5</v>
      </c>
      <c r="I108" s="9">
        <f>H108/(180*0.714)</f>
        <v/>
      </c>
    </row>
    <row r="109">
      <c r="A109" s="4" t="inlineStr">
        <is>
          <t>EMP-1106</t>
        </is>
      </c>
      <c r="B109" s="5" t="inlineStr">
        <is>
          <t>Analista de Qualidade / Processos</t>
        </is>
      </c>
      <c r="C109" s="4" t="inlineStr">
        <is>
          <t>Analista</t>
        </is>
      </c>
      <c r="D109" s="5" t="inlineStr">
        <is>
          <t>Engenharia / Qualidade</t>
        </is>
      </c>
      <c r="E109" s="8" t="n">
        <v>7613.94</v>
      </c>
      <c r="F109" s="8">
        <f>E109*0.45</f>
        <v/>
      </c>
      <c r="G109" s="8">
        <f>E109+F109</f>
        <v/>
      </c>
      <c r="H109" s="7" t="n">
        <v>0</v>
      </c>
      <c r="I109" s="9">
        <f>H109/(180*0.714)</f>
        <v/>
      </c>
    </row>
    <row r="110">
      <c r="A110" s="4" t="inlineStr">
        <is>
          <t>EMP-1107</t>
        </is>
      </c>
      <c r="B110" s="5" t="inlineStr">
        <is>
          <t>Analista de Qualidade / Processos</t>
        </is>
      </c>
      <c r="C110" s="4" t="inlineStr">
        <is>
          <t>Analista</t>
        </is>
      </c>
      <c r="D110" s="5" t="inlineStr">
        <is>
          <t>Engenharia / Qualidade</t>
        </is>
      </c>
      <c r="E110" s="8" t="n">
        <v>8102.6</v>
      </c>
      <c r="F110" s="8">
        <f>E110*0.45</f>
        <v/>
      </c>
      <c r="G110" s="8">
        <f>E110+F110</f>
        <v/>
      </c>
      <c r="H110" s="7" t="n">
        <v>0</v>
      </c>
      <c r="I110" s="9">
        <f>H110/(180*0.714)</f>
        <v/>
      </c>
    </row>
    <row r="111">
      <c r="A111" s="4" t="inlineStr">
        <is>
          <t>EMP-1108</t>
        </is>
      </c>
      <c r="B111" s="5" t="inlineStr">
        <is>
          <t>Analista de Qualidade / Processos</t>
        </is>
      </c>
      <c r="C111" s="4" t="inlineStr">
        <is>
          <t>Analista</t>
        </is>
      </c>
      <c r="D111" s="5" t="inlineStr">
        <is>
          <t>Engenharia / Qualidade</t>
        </is>
      </c>
      <c r="E111" s="8" t="n">
        <v>7913.23</v>
      </c>
      <c r="F111" s="8">
        <f>E111*0.45</f>
        <v/>
      </c>
      <c r="G111" s="8">
        <f>E111+F111</f>
        <v/>
      </c>
      <c r="H111" s="7" t="n">
        <v>5</v>
      </c>
      <c r="I111" s="9">
        <f>H111/(180*0.714)</f>
        <v/>
      </c>
    </row>
    <row r="112">
      <c r="A112" s="4" t="inlineStr">
        <is>
          <t>EMP-1109</t>
        </is>
      </c>
      <c r="B112" s="5" t="inlineStr">
        <is>
          <t>Analista de Qualidade / Processos</t>
        </is>
      </c>
      <c r="C112" s="4" t="inlineStr">
        <is>
          <t>Analista</t>
        </is>
      </c>
      <c r="D112" s="5" t="inlineStr">
        <is>
          <t>Engenharia / Qualidade</t>
        </is>
      </c>
      <c r="E112" s="8" t="n">
        <v>7838.06</v>
      </c>
      <c r="F112" s="8">
        <f>E112*0.45</f>
        <v/>
      </c>
      <c r="G112" s="8">
        <f>E112+F112</f>
        <v/>
      </c>
      <c r="H112" s="7" t="n">
        <v>3</v>
      </c>
      <c r="I112" s="9">
        <f>H112/(180*0.714)</f>
        <v/>
      </c>
    </row>
    <row r="113">
      <c r="A113" s="4" t="inlineStr">
        <is>
          <t>EMP-1110</t>
        </is>
      </c>
      <c r="B113" s="5" t="inlineStr">
        <is>
          <t>Analista de Qualidade / Processos</t>
        </is>
      </c>
      <c r="C113" s="4" t="inlineStr">
        <is>
          <t>Analista</t>
        </is>
      </c>
      <c r="D113" s="5" t="inlineStr">
        <is>
          <t>Engenharia / Qualidade</t>
        </is>
      </c>
      <c r="E113" s="8" t="n">
        <v>8206.309999999999</v>
      </c>
      <c r="F113" s="8">
        <f>E113*0.45</f>
        <v/>
      </c>
      <c r="G113" s="8">
        <f>E113+F113</f>
        <v/>
      </c>
      <c r="H113" s="7" t="n">
        <v>4</v>
      </c>
      <c r="I113" s="9">
        <f>H113/(180*0.714)</f>
        <v/>
      </c>
    </row>
    <row r="114">
      <c r="A114" s="4" t="inlineStr">
        <is>
          <t>EMP-1111</t>
        </is>
      </c>
      <c r="B114" s="5" t="inlineStr">
        <is>
          <t>Analista de Qualidade / Processos</t>
        </is>
      </c>
      <c r="C114" s="4" t="inlineStr">
        <is>
          <t>Analista</t>
        </is>
      </c>
      <c r="D114" s="5" t="inlineStr">
        <is>
          <t>Engenharia / Qualidade</t>
        </is>
      </c>
      <c r="E114" s="8" t="n">
        <v>8061.24</v>
      </c>
      <c r="F114" s="8">
        <f>E114*0.45</f>
        <v/>
      </c>
      <c r="G114" s="8">
        <f>E114+F114</f>
        <v/>
      </c>
      <c r="H114" s="7" t="n">
        <v>2</v>
      </c>
      <c r="I114" s="9">
        <f>H114/(180*0.714)</f>
        <v/>
      </c>
    </row>
    <row r="115">
      <c r="A115" s="4" t="inlineStr">
        <is>
          <t>EMP-1112</t>
        </is>
      </c>
      <c r="B115" s="5" t="inlineStr">
        <is>
          <t>Analista de Qualidade / Processos</t>
        </is>
      </c>
      <c r="C115" s="4" t="inlineStr">
        <is>
          <t>Analista</t>
        </is>
      </c>
      <c r="D115" s="5" t="inlineStr">
        <is>
          <t>Engenharia / Qualidade</t>
        </is>
      </c>
      <c r="E115" s="8" t="n">
        <v>6577.58</v>
      </c>
      <c r="F115" s="8">
        <f>E115*0.45</f>
        <v/>
      </c>
      <c r="G115" s="8">
        <f>E115+F115</f>
        <v/>
      </c>
      <c r="H115" s="7" t="n">
        <v>1</v>
      </c>
      <c r="I115" s="9">
        <f>H115/(180*0.714)</f>
        <v/>
      </c>
    </row>
    <row r="116">
      <c r="A116" s="4" t="inlineStr">
        <is>
          <t>EMP-1113</t>
        </is>
      </c>
      <c r="B116" s="5" t="inlineStr">
        <is>
          <t>Analista de Qualidade / Processos</t>
        </is>
      </c>
      <c r="C116" s="4" t="inlineStr">
        <is>
          <t>Analista</t>
        </is>
      </c>
      <c r="D116" s="5" t="inlineStr">
        <is>
          <t>Engenharia / Qualidade</t>
        </is>
      </c>
      <c r="E116" s="8" t="n">
        <v>7002.19</v>
      </c>
      <c r="F116" s="8">
        <f>E116*0.45</f>
        <v/>
      </c>
      <c r="G116" s="8">
        <f>E116+F116</f>
        <v/>
      </c>
      <c r="H116" s="7" t="n">
        <v>0</v>
      </c>
      <c r="I116" s="9">
        <f>H116/(180*0.714)</f>
        <v/>
      </c>
    </row>
    <row r="117">
      <c r="A117" s="4" t="inlineStr">
        <is>
          <t>EMP-1114</t>
        </is>
      </c>
      <c r="B117" s="5" t="inlineStr">
        <is>
          <t>Analista de Qualidade / Processos</t>
        </is>
      </c>
      <c r="C117" s="4" t="inlineStr">
        <is>
          <t>Analista</t>
        </is>
      </c>
      <c r="D117" s="5" t="inlineStr">
        <is>
          <t>Engenharia / Qualidade</t>
        </is>
      </c>
      <c r="E117" s="8" t="n">
        <v>8279.52</v>
      </c>
      <c r="F117" s="8">
        <f>E117*0.45</f>
        <v/>
      </c>
      <c r="G117" s="8">
        <f>E117+F117</f>
        <v/>
      </c>
      <c r="H117" s="7" t="n">
        <v>5</v>
      </c>
      <c r="I117" s="9">
        <f>H117/(180*0.714)</f>
        <v/>
      </c>
    </row>
    <row r="118">
      <c r="A118" s="4" t="inlineStr">
        <is>
          <t>EMP-1115</t>
        </is>
      </c>
      <c r="B118" s="5" t="inlineStr">
        <is>
          <t>Analista de Qualidade / Processos</t>
        </is>
      </c>
      <c r="C118" s="4" t="inlineStr">
        <is>
          <t>Analista</t>
        </is>
      </c>
      <c r="D118" s="5" t="inlineStr">
        <is>
          <t>Engenharia / Qualidade</t>
        </is>
      </c>
      <c r="E118" s="8" t="n">
        <v>6643.85</v>
      </c>
      <c r="F118" s="8">
        <f>E118*0.45</f>
        <v/>
      </c>
      <c r="G118" s="8">
        <f>E118+F118</f>
        <v/>
      </c>
      <c r="H118" s="7" t="n">
        <v>4</v>
      </c>
      <c r="I118" s="9">
        <f>H118/(180*0.714)</f>
        <v/>
      </c>
    </row>
    <row r="119">
      <c r="A119" s="4" t="inlineStr">
        <is>
          <t>EMP-1116</t>
        </is>
      </c>
      <c r="B119" s="5" t="inlineStr">
        <is>
          <t>Analista de Qualidade / Processos</t>
        </is>
      </c>
      <c r="C119" s="4" t="inlineStr">
        <is>
          <t>Analista</t>
        </is>
      </c>
      <c r="D119" s="5" t="inlineStr">
        <is>
          <t>Engenharia / Qualidade</t>
        </is>
      </c>
      <c r="E119" s="8" t="n">
        <v>6502.42</v>
      </c>
      <c r="F119" s="8">
        <f>E119*0.45</f>
        <v/>
      </c>
      <c r="G119" s="8">
        <f>E119+F119</f>
        <v/>
      </c>
      <c r="H119" s="7" t="n">
        <v>1</v>
      </c>
      <c r="I119" s="9">
        <f>H119/(180*0.714)</f>
        <v/>
      </c>
    </row>
    <row r="120">
      <c r="A120" s="4" t="inlineStr">
        <is>
          <t>EMP-1117</t>
        </is>
      </c>
      <c r="B120" s="5" t="inlineStr">
        <is>
          <t>Analista de Qualidade / Processos</t>
        </is>
      </c>
      <c r="C120" s="4" t="inlineStr">
        <is>
          <t>Analista</t>
        </is>
      </c>
      <c r="D120" s="5" t="inlineStr">
        <is>
          <t>Engenharia / Qualidade</t>
        </is>
      </c>
      <c r="E120" s="8" t="n">
        <v>7228.34</v>
      </c>
      <c r="F120" s="8">
        <f>E120*0.45</f>
        <v/>
      </c>
      <c r="G120" s="8">
        <f>E120+F120</f>
        <v/>
      </c>
      <c r="H120" s="7" t="n">
        <v>1</v>
      </c>
      <c r="I120" s="9">
        <f>H120/(180*0.714)</f>
        <v/>
      </c>
    </row>
    <row r="121">
      <c r="A121" s="4" t="inlineStr">
        <is>
          <t>EMP-1118</t>
        </is>
      </c>
      <c r="B121" s="5" t="inlineStr">
        <is>
          <t>Analista de Qualidade / Processos</t>
        </is>
      </c>
      <c r="C121" s="4" t="inlineStr">
        <is>
          <t>Analista</t>
        </is>
      </c>
      <c r="D121" s="5" t="inlineStr">
        <is>
          <t>Engenharia / Qualidade</t>
        </is>
      </c>
      <c r="E121" s="8" t="n">
        <v>8346.98</v>
      </c>
      <c r="F121" s="8">
        <f>E121*0.45</f>
        <v/>
      </c>
      <c r="G121" s="8">
        <f>E121+F121</f>
        <v/>
      </c>
      <c r="H121" s="7" t="n">
        <v>5</v>
      </c>
      <c r="I121" s="9">
        <f>H121/(180*0.714)</f>
        <v/>
      </c>
    </row>
    <row r="122">
      <c r="A122" s="4" t="inlineStr">
        <is>
          <t>EMP-1119</t>
        </is>
      </c>
      <c r="B122" s="5" t="inlineStr">
        <is>
          <t>Gestor de Linha / Supervisor</t>
        </is>
      </c>
      <c r="C122" s="4" t="inlineStr">
        <is>
          <t>Gestor</t>
        </is>
      </c>
      <c r="D122" s="5" t="inlineStr">
        <is>
          <t>Produção / Manutenção</t>
        </is>
      </c>
      <c r="E122" s="8" t="n">
        <v>14930.15</v>
      </c>
      <c r="F122" s="8">
        <f>E122*0.45</f>
        <v/>
      </c>
      <c r="G122" s="8">
        <f>E122+F122</f>
        <v/>
      </c>
      <c r="H122" s="7" t="n">
        <v>3</v>
      </c>
      <c r="I122" s="9">
        <f>H122/(180*0.714)</f>
        <v/>
      </c>
    </row>
    <row r="123">
      <c r="A123" s="4" t="inlineStr">
        <is>
          <t>EMP-1120</t>
        </is>
      </c>
      <c r="B123" s="5" t="inlineStr">
        <is>
          <t>Gestor de Linha / Supervisor</t>
        </is>
      </c>
      <c r="C123" s="4" t="inlineStr">
        <is>
          <t>Gestor</t>
        </is>
      </c>
      <c r="D123" s="5" t="inlineStr">
        <is>
          <t>Produção / Manutenção</t>
        </is>
      </c>
      <c r="E123" s="8" t="n">
        <v>13762.13</v>
      </c>
      <c r="F123" s="8">
        <f>E123*0.45</f>
        <v/>
      </c>
      <c r="G123" s="8">
        <f>E123+F123</f>
        <v/>
      </c>
      <c r="H123" s="7" t="n">
        <v>0</v>
      </c>
      <c r="I123" s="9">
        <f>H123/(180*0.714)</f>
        <v/>
      </c>
    </row>
    <row r="124">
      <c r="A124" s="4" t="inlineStr">
        <is>
          <t>EMP-1121</t>
        </is>
      </c>
      <c r="B124" s="5" t="inlineStr">
        <is>
          <t>Gestor de Linha / Supervisor</t>
        </is>
      </c>
      <c r="C124" s="4" t="inlineStr">
        <is>
          <t>Gestor</t>
        </is>
      </c>
      <c r="D124" s="5" t="inlineStr">
        <is>
          <t>Produção / Manutenção</t>
        </is>
      </c>
      <c r="E124" s="8" t="n">
        <v>15256.3</v>
      </c>
      <c r="F124" s="8">
        <f>E124*0.45</f>
        <v/>
      </c>
      <c r="G124" s="8">
        <f>E124+F124</f>
        <v/>
      </c>
      <c r="H124" s="7" t="n">
        <v>3</v>
      </c>
      <c r="I124" s="9">
        <f>H124/(180*0.714)</f>
        <v/>
      </c>
    </row>
    <row r="125">
      <c r="A125" s="4" t="inlineStr">
        <is>
          <t>EMP-1122</t>
        </is>
      </c>
      <c r="B125" s="5" t="inlineStr">
        <is>
          <t>Gestor de Linha / Supervisor</t>
        </is>
      </c>
      <c r="C125" s="4" t="inlineStr">
        <is>
          <t>Gestor</t>
        </is>
      </c>
      <c r="D125" s="5" t="inlineStr">
        <is>
          <t>Produção / Manutenção</t>
        </is>
      </c>
      <c r="E125" s="8" t="n">
        <v>15446.95</v>
      </c>
      <c r="F125" s="8">
        <f>E125*0.45</f>
        <v/>
      </c>
      <c r="G125" s="8">
        <f>E125+F125</f>
        <v/>
      </c>
      <c r="H125" s="7" t="n">
        <v>3</v>
      </c>
      <c r="I125" s="9">
        <f>H125/(180*0.714)</f>
        <v/>
      </c>
    </row>
    <row r="126">
      <c r="A126" s="4" t="inlineStr">
        <is>
          <t>EMP-1123</t>
        </is>
      </c>
      <c r="B126" s="5" t="inlineStr">
        <is>
          <t>Gestor de Linha / Supervisor</t>
        </is>
      </c>
      <c r="C126" s="4" t="inlineStr">
        <is>
          <t>Gestor</t>
        </is>
      </c>
      <c r="D126" s="5" t="inlineStr">
        <is>
          <t>Produção / Manutenção</t>
        </is>
      </c>
      <c r="E126" s="8" t="n">
        <v>15101.27</v>
      </c>
      <c r="F126" s="8">
        <f>E126*0.45</f>
        <v/>
      </c>
      <c r="G126" s="8">
        <f>E126+F126</f>
        <v/>
      </c>
      <c r="H126" s="7" t="n">
        <v>1</v>
      </c>
      <c r="I126" s="9">
        <f>H126/(180*0.714)</f>
        <v/>
      </c>
    </row>
    <row r="127">
      <c r="A127" s="4" t="inlineStr">
        <is>
          <t>EMP-1124</t>
        </is>
      </c>
      <c r="B127" s="5" t="inlineStr">
        <is>
          <t>Gestor de Linha / Supervisor</t>
        </is>
      </c>
      <c r="C127" s="4" t="inlineStr">
        <is>
          <t>Gestor</t>
        </is>
      </c>
      <c r="D127" s="5" t="inlineStr">
        <is>
          <t>Produção / Manutenção</t>
        </is>
      </c>
      <c r="E127" s="8" t="n">
        <v>14562.61</v>
      </c>
      <c r="F127" s="8">
        <f>E127*0.45</f>
        <v/>
      </c>
      <c r="G127" s="8">
        <f>E127+F127</f>
        <v/>
      </c>
      <c r="H127" s="7" t="n">
        <v>0</v>
      </c>
      <c r="I127" s="9">
        <f>H127/(180*0.714)</f>
        <v/>
      </c>
    </row>
    <row r="128">
      <c r="A128" s="4" t="inlineStr">
        <is>
          <t>EMP-1125</t>
        </is>
      </c>
      <c r="B128" s="5" t="inlineStr">
        <is>
          <t>Gestor de Linha / Supervisor</t>
        </is>
      </c>
      <c r="C128" s="4" t="inlineStr">
        <is>
          <t>Gestor</t>
        </is>
      </c>
      <c r="D128" s="5" t="inlineStr">
        <is>
          <t>Produção / Manutenção</t>
        </is>
      </c>
      <c r="E128" s="8" t="n">
        <v>14926.72</v>
      </c>
      <c r="F128" s="8">
        <f>E128*0.45</f>
        <v/>
      </c>
      <c r="G128" s="8">
        <f>E128+F128</f>
        <v/>
      </c>
      <c r="H128" s="7" t="n">
        <v>0</v>
      </c>
      <c r="I128" s="9">
        <f>H128/(180*0.714)</f>
        <v/>
      </c>
    </row>
    <row r="129">
      <c r="A129" s="4" t="inlineStr">
        <is>
          <t>EMP-1126</t>
        </is>
      </c>
      <c r="B129" s="5" t="inlineStr">
        <is>
          <t>Gestor de Linha / Supervisor</t>
        </is>
      </c>
      <c r="C129" s="4" t="inlineStr">
        <is>
          <t>Gestor</t>
        </is>
      </c>
      <c r="D129" s="5" t="inlineStr">
        <is>
          <t>Produção / Manutenção</t>
        </is>
      </c>
      <c r="E129" s="8" t="n">
        <v>15562.94</v>
      </c>
      <c r="F129" s="8">
        <f>E129*0.45</f>
        <v/>
      </c>
      <c r="G129" s="8">
        <f>E129+F129</f>
        <v/>
      </c>
      <c r="H129" s="7" t="n">
        <v>2</v>
      </c>
      <c r="I129" s="9">
        <f>H129/(180*0.714)</f>
        <v/>
      </c>
    </row>
    <row r="130">
      <c r="A130" s="4" t="inlineStr">
        <is>
          <t>EMP-1127</t>
        </is>
      </c>
      <c r="B130" s="5" t="inlineStr">
        <is>
          <t>Gestor de Linha / Supervisor</t>
        </is>
      </c>
      <c r="C130" s="4" t="inlineStr">
        <is>
          <t>Gestor</t>
        </is>
      </c>
      <c r="D130" s="5" t="inlineStr">
        <is>
          <t>Produção / Manutenção</t>
        </is>
      </c>
      <c r="E130" s="8" t="n">
        <v>14498.6</v>
      </c>
      <c r="F130" s="8">
        <f>E130*0.45</f>
        <v/>
      </c>
      <c r="G130" s="8">
        <f>E130+F130</f>
        <v/>
      </c>
      <c r="H130" s="7" t="n">
        <v>2</v>
      </c>
      <c r="I130" s="9">
        <f>H130/(180*0.714)</f>
        <v/>
      </c>
    </row>
    <row r="131">
      <c r="A131" s="4" t="inlineStr">
        <is>
          <t>EMP-1128</t>
        </is>
      </c>
      <c r="B131" s="5" t="inlineStr">
        <is>
          <t>Gestor de Linha / Supervisor</t>
        </is>
      </c>
      <c r="C131" s="4" t="inlineStr">
        <is>
          <t>Gestor</t>
        </is>
      </c>
      <c r="D131" s="5" t="inlineStr">
        <is>
          <t>Produção / Manutenção</t>
        </is>
      </c>
      <c r="E131" s="8" t="n">
        <v>13072.63</v>
      </c>
      <c r="F131" s="8">
        <f>E131*0.45</f>
        <v/>
      </c>
      <c r="G131" s="8">
        <f>E131+F131</f>
        <v/>
      </c>
      <c r="H131" s="7" t="n">
        <v>2</v>
      </c>
      <c r="I131" s="9">
        <f>H131/(180*0.714)</f>
        <v/>
      </c>
    </row>
    <row r="132">
      <c r="A132" s="4" t="inlineStr">
        <is>
          <t>EMP-1129</t>
        </is>
      </c>
      <c r="B132" s="5" t="inlineStr">
        <is>
          <t>Gestor de Linha / Supervisor</t>
        </is>
      </c>
      <c r="C132" s="4" t="inlineStr">
        <is>
          <t>Gestor</t>
        </is>
      </c>
      <c r="D132" s="5" t="inlineStr">
        <is>
          <t>Produção / Manutenção</t>
        </is>
      </c>
      <c r="E132" s="8" t="n">
        <v>15783.45</v>
      </c>
      <c r="F132" s="8">
        <f>E132*0.45</f>
        <v/>
      </c>
      <c r="G132" s="8">
        <f>E132+F132</f>
        <v/>
      </c>
      <c r="H132" s="7" t="n">
        <v>2</v>
      </c>
      <c r="I132" s="9">
        <f>H132/(180*0.714)</f>
        <v/>
      </c>
    </row>
    <row r="133">
      <c r="A133" s="4" t="inlineStr">
        <is>
          <t>EMP-1130</t>
        </is>
      </c>
      <c r="B133" s="5" t="inlineStr">
        <is>
          <t>Gestor de Linha / Supervisor</t>
        </is>
      </c>
      <c r="C133" s="4" t="inlineStr">
        <is>
          <t>Gestor</t>
        </is>
      </c>
      <c r="D133" s="5" t="inlineStr">
        <is>
          <t>Produção / Manutenção</t>
        </is>
      </c>
      <c r="E133" s="8" t="n">
        <v>15001.97</v>
      </c>
      <c r="F133" s="8">
        <f>E133*0.45</f>
        <v/>
      </c>
      <c r="G133" s="8">
        <f>E133+F133</f>
        <v/>
      </c>
      <c r="H133" s="7" t="n">
        <v>0</v>
      </c>
      <c r="I133" s="9">
        <f>H133/(180*0.714)</f>
        <v/>
      </c>
    </row>
    <row r="134">
      <c r="A134" s="4" t="inlineStr">
        <is>
          <t>EMP-1131</t>
        </is>
      </c>
      <c r="B134" s="5" t="inlineStr">
        <is>
          <t>Gestor de Linha / Supervisor</t>
        </is>
      </c>
      <c r="C134" s="4" t="inlineStr">
        <is>
          <t>Gestor</t>
        </is>
      </c>
      <c r="D134" s="5" t="inlineStr">
        <is>
          <t>Produção / Manutenção</t>
        </is>
      </c>
      <c r="E134" s="8" t="n">
        <v>13500.37</v>
      </c>
      <c r="F134" s="8">
        <f>E134*0.45</f>
        <v/>
      </c>
      <c r="G134" s="8">
        <f>E134+F134</f>
        <v/>
      </c>
      <c r="H134" s="7" t="n">
        <v>2</v>
      </c>
      <c r="I134" s="9">
        <f>H134/(180*0.714)</f>
        <v/>
      </c>
    </row>
    <row r="135">
      <c r="A135" s="4" t="inlineStr">
        <is>
          <t>EMP-1132</t>
        </is>
      </c>
      <c r="B135" s="5" t="inlineStr">
        <is>
          <t>Diretoria Executiva (VP/Diretor)</t>
        </is>
      </c>
      <c r="C135" s="4" t="inlineStr">
        <is>
          <t>Diretoria</t>
        </is>
      </c>
      <c r="D135" s="5" t="inlineStr">
        <is>
          <t>Administração / C-Level</t>
        </is>
      </c>
      <c r="E135" s="8" t="n">
        <v>43834.66</v>
      </c>
      <c r="F135" s="8">
        <f>E135*0.45</f>
        <v/>
      </c>
      <c r="G135" s="8">
        <f>E135+F135</f>
        <v/>
      </c>
      <c r="H135" s="7" t="n">
        <v>0</v>
      </c>
      <c r="I135" s="9">
        <f>H135/(180*0.714)</f>
        <v/>
      </c>
    </row>
    <row r="136">
      <c r="A136" s="4" t="inlineStr">
        <is>
          <t>EMP-1133</t>
        </is>
      </c>
      <c r="B136" s="5" t="inlineStr">
        <is>
          <t>Diretoria Executiva (VP/Diretor)</t>
        </is>
      </c>
      <c r="C136" s="4" t="inlineStr">
        <is>
          <t>Diretoria</t>
        </is>
      </c>
      <c r="D136" s="5" t="inlineStr">
        <is>
          <t>Administração / C-Level</t>
        </is>
      </c>
      <c r="E136" s="8" t="n">
        <v>46772.51</v>
      </c>
      <c r="F136" s="8">
        <f>E136*0.45</f>
        <v/>
      </c>
      <c r="G136" s="8">
        <f>E136+F136</f>
        <v/>
      </c>
      <c r="H136" s="7" t="n">
        <v>0</v>
      </c>
      <c r="I136" s="9">
        <f>H136/(180*0.714)</f>
        <v/>
      </c>
    </row>
    <row r="137">
      <c r="A137" s="4" t="inlineStr">
        <is>
          <t>EMP-1134</t>
        </is>
      </c>
      <c r="B137" s="5" t="inlineStr">
        <is>
          <t>Diretoria Executiva (VP/Diretor)</t>
        </is>
      </c>
      <c r="C137" s="4" t="inlineStr">
        <is>
          <t>Diretoria</t>
        </is>
      </c>
      <c r="D137" s="5" t="inlineStr">
        <is>
          <t>Administração / C-Level</t>
        </is>
      </c>
      <c r="E137" s="8" t="n">
        <v>64160.78</v>
      </c>
      <c r="F137" s="8">
        <f>E137*0.45</f>
        <v/>
      </c>
      <c r="G137" s="8">
        <f>E137+F137</f>
        <v/>
      </c>
      <c r="H137" s="7" t="n">
        <v>0</v>
      </c>
      <c r="I137" s="9">
        <f>H137/(180*0.714)</f>
        <v/>
      </c>
    </row>
    <row r="138">
      <c r="A138" s="4" t="inlineStr">
        <is>
          <t>EMP-1135</t>
        </is>
      </c>
      <c r="B138" s="5" t="inlineStr">
        <is>
          <t>Diretoria Executiva (VP/Diretor)</t>
        </is>
      </c>
      <c r="C138" s="4" t="inlineStr">
        <is>
          <t>Diretoria</t>
        </is>
      </c>
      <c r="D138" s="5" t="inlineStr">
        <is>
          <t>Administração / C-Level</t>
        </is>
      </c>
      <c r="E138" s="8" t="n">
        <v>56501.8</v>
      </c>
      <c r="F138" s="8">
        <f>E138*0.45</f>
        <v/>
      </c>
      <c r="G138" s="8">
        <f>E138+F138</f>
        <v/>
      </c>
      <c r="H138" s="7" t="n">
        <v>0</v>
      </c>
      <c r="I138" s="9">
        <f>H138/(180*0.714)</f>
        <v/>
      </c>
    </row>
    <row r="139">
      <c r="A139" s="4" t="inlineStr">
        <is>
          <t>EMP-1136</t>
        </is>
      </c>
      <c r="B139" s="5" t="inlineStr">
        <is>
          <t>Diretoria Executiva (VP/Diretor)</t>
        </is>
      </c>
      <c r="C139" s="4" t="inlineStr">
        <is>
          <t>Diretoria</t>
        </is>
      </c>
      <c r="D139" s="5" t="inlineStr">
        <is>
          <t>Administração / C-Level</t>
        </is>
      </c>
      <c r="E139" s="8" t="n">
        <v>52903.98</v>
      </c>
      <c r="F139" s="8">
        <f>E139*0.45</f>
        <v/>
      </c>
      <c r="G139" s="8">
        <f>E139+F139</f>
        <v/>
      </c>
      <c r="H139" s="7" t="n">
        <v>0</v>
      </c>
      <c r="I139" s="9">
        <f>H139/(180*0.714)</f>
        <v/>
      </c>
    </row>
    <row r="140">
      <c r="F140" s="10" t="inlineStr">
        <is>
          <t>TOTAL FOLHA MENSAL:</t>
        </is>
      </c>
      <c r="G140" s="11">
        <f>SUM(G5:G139)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93" customWidth="1" min="1" max="1"/>
    <col width="26" customWidth="1" min="2" max="2"/>
    <col width="28" customWidth="1" min="3" max="3"/>
    <col width="45" customWidth="1" min="4" max="4"/>
    <col width="33" customWidth="1" min="5" max="5"/>
    <col width="36" customWidth="1" min="6" max="6"/>
    <col width="38" customWidth="1" min="7" max="7"/>
  </cols>
  <sheetData>
    <row r="1">
      <c r="A1" s="1" t="inlineStr">
        <is>
          <t>Compromissos Financeiros, Pagamento de Dividendos e Passivos Oneros</t>
        </is>
      </c>
    </row>
    <row r="2">
      <c r="A2" s="2" t="inlineStr">
        <is>
          <t>Projeção mensal de obrigações com acionistas e amortização de dívidas de curto/longo prazo</t>
        </is>
      </c>
    </row>
    <row r="3"/>
    <row r="4">
      <c r="A4" s="3" t="inlineStr">
        <is>
          <t>Mês / Ano</t>
        </is>
      </c>
      <c r="B4" s="3" t="inlineStr">
        <is>
          <t>Classe de Ações</t>
        </is>
      </c>
      <c r="C4" s="3" t="inlineStr">
        <is>
          <t>Número de Ações Emfíbolas</t>
        </is>
      </c>
      <c r="D4" s="3" t="inlineStr">
        <is>
          <t>Dividendos por Ação (BRL)</t>
        </is>
      </c>
      <c r="E4" s="3" t="inlineStr">
        <is>
          <t>Total Dividendos Mensais (BRL)</t>
        </is>
      </c>
      <c r="F4" s="3" t="inlineStr">
        <is>
          <t>Juros Sobre Capital Próprio (JCP)</t>
        </is>
      </c>
      <c r="G4" s="3" t="inlineStr">
        <is>
          <t>Status de Pagamento / Impacto Caixa</t>
        </is>
      </c>
    </row>
    <row r="5">
      <c r="A5" s="4" t="inlineStr">
        <is>
          <t>Nov/25</t>
        </is>
      </c>
      <c r="B5" s="4" t="inlineStr">
        <is>
          <t>ON (Com Direito a Voto)</t>
        </is>
      </c>
      <c r="C5" s="7" t="n">
        <v>15000000</v>
      </c>
      <c r="D5" s="8" t="n">
        <v>0.12</v>
      </c>
      <c r="E5" s="8">
        <f>C5*D5</f>
        <v/>
      </c>
      <c r="F5" s="8">
        <f>E5*0.15</f>
        <v/>
      </c>
      <c r="G5" s="5" t="inlineStr">
        <is>
          <t>Suspenso p/ Reestruturação</t>
        </is>
      </c>
    </row>
    <row r="6">
      <c r="A6" s="4" t="inlineStr">
        <is>
          <t>Dez/25</t>
        </is>
      </c>
      <c r="B6" s="4" t="inlineStr">
        <is>
          <t>PN (Preferenciais)</t>
        </is>
      </c>
      <c r="C6" s="7" t="n">
        <v>25000000</v>
      </c>
      <c r="D6" s="8" t="n">
        <v>0.15</v>
      </c>
      <c r="E6" s="8">
        <f>C6*D6</f>
        <v/>
      </c>
      <c r="F6" s="8">
        <f>E6*0.15</f>
        <v/>
      </c>
      <c r="G6" s="5" t="inlineStr">
        <is>
          <t>Acumulado em Atraso</t>
        </is>
      </c>
    </row>
    <row r="7">
      <c r="A7" s="4" t="inlineStr">
        <is>
          <t>Jan/26</t>
        </is>
      </c>
      <c r="B7" s="4" t="inlineStr">
        <is>
          <t>ON (Com Direito a Voto)</t>
        </is>
      </c>
      <c r="C7" s="7" t="n">
        <v>15000000</v>
      </c>
      <c r="D7" s="8" t="n">
        <v>0.12</v>
      </c>
      <c r="E7" s="8">
        <f>C7*D7</f>
        <v/>
      </c>
      <c r="F7" s="8">
        <f>E7*0.15</f>
        <v/>
      </c>
      <c r="G7" s="5" t="inlineStr">
        <is>
          <t>Suspenso p/ Reestruturação</t>
        </is>
      </c>
    </row>
    <row r="8">
      <c r="A8" s="4" t="inlineStr">
        <is>
          <t>Fev/26</t>
        </is>
      </c>
      <c r="B8" s="4" t="inlineStr">
        <is>
          <t>PN (Preferenciais)</t>
        </is>
      </c>
      <c r="C8" s="7" t="n">
        <v>25000000</v>
      </c>
      <c r="D8" s="8" t="n">
        <v>0.15</v>
      </c>
      <c r="E8" s="8">
        <f>C8*D8</f>
        <v/>
      </c>
      <c r="F8" s="8">
        <f>E8*0.15</f>
        <v/>
      </c>
      <c r="G8" s="5" t="inlineStr">
        <is>
          <t>Acumulado em Atraso</t>
        </is>
      </c>
    </row>
    <row r="9">
      <c r="A9" s="4" t="inlineStr">
        <is>
          <t>Mar/26</t>
        </is>
      </c>
      <c r="B9" s="4" t="inlineStr">
        <is>
          <t>ON (Com Direito a Voto)</t>
        </is>
      </c>
      <c r="C9" s="7" t="n">
        <v>15000000</v>
      </c>
      <c r="D9" s="8" t="n">
        <v>0.12</v>
      </c>
      <c r="E9" s="8">
        <f>C9*D9</f>
        <v/>
      </c>
      <c r="F9" s="8">
        <f>E9*0.15</f>
        <v/>
      </c>
      <c r="G9" s="5" t="inlineStr">
        <is>
          <t>Suspenso p/ Reestruturação</t>
        </is>
      </c>
    </row>
    <row r="10">
      <c r="A10" s="4" t="inlineStr">
        <is>
          <t>Abr/26</t>
        </is>
      </c>
      <c r="B10" s="4" t="inlineStr">
        <is>
          <t>PN (Preferenciais)</t>
        </is>
      </c>
      <c r="C10" s="7" t="n">
        <v>25000000</v>
      </c>
      <c r="D10" s="8" t="n">
        <v>0.15</v>
      </c>
      <c r="E10" s="8">
        <f>C10*D10</f>
        <v/>
      </c>
      <c r="F10" s="8">
        <f>E10*0.15</f>
        <v/>
      </c>
      <c r="G10" s="5" t="inlineStr">
        <is>
          <t>Acumulado em Atraso</t>
        </is>
      </c>
    </row>
    <row r="11">
      <c r="A11" s="4" t="inlineStr">
        <is>
          <t>Mai/26</t>
        </is>
      </c>
      <c r="B11" s="4" t="inlineStr">
        <is>
          <t>ON (Com Direito a Voto)</t>
        </is>
      </c>
      <c r="C11" s="7" t="n">
        <v>15000000</v>
      </c>
      <c r="D11" s="8" t="n">
        <v>0.12</v>
      </c>
      <c r="E11" s="8">
        <f>C11*D11</f>
        <v/>
      </c>
      <c r="F11" s="8">
        <f>E11*0.15</f>
        <v/>
      </c>
      <c r="G11" s="5" t="inlineStr">
        <is>
          <t>Suspenso p/ Reestruturação</t>
        </is>
      </c>
    </row>
    <row r="12">
      <c r="A12" s="4" t="inlineStr">
        <is>
          <t>Jun/26</t>
        </is>
      </c>
      <c r="B12" s="4" t="inlineStr">
        <is>
          <t>PN (Preferenciais)</t>
        </is>
      </c>
      <c r="C12" s="7" t="n">
        <v>25000000</v>
      </c>
      <c r="D12" s="8" t="n">
        <v>0.15</v>
      </c>
      <c r="E12" s="8">
        <f>C12*D12</f>
        <v/>
      </c>
      <c r="F12" s="8">
        <f>E12*0.15</f>
        <v/>
      </c>
      <c r="G12" s="5" t="inlineStr">
        <is>
          <t>Acumulado em Atraso</t>
        </is>
      </c>
    </row>
    <row r="13">
      <c r="A13" s="4" t="inlineStr">
        <is>
          <t>Jul/26</t>
        </is>
      </c>
      <c r="B13" s="4" t="inlineStr">
        <is>
          <t>ON (Com Direito a Voto)</t>
        </is>
      </c>
      <c r="C13" s="7" t="n">
        <v>15000000</v>
      </c>
      <c r="D13" s="8" t="n">
        <v>0.12</v>
      </c>
      <c r="E13" s="8">
        <f>C13*D13</f>
        <v/>
      </c>
      <c r="F13" s="8">
        <f>E13*0.15</f>
        <v/>
      </c>
      <c r="G13" s="5" t="inlineStr">
        <is>
          <t>Suspenso p/ Reestruturação</t>
        </is>
      </c>
    </row>
    <row r="14">
      <c r="A14" s="4" t="inlineStr">
        <is>
          <t>Ago/26</t>
        </is>
      </c>
      <c r="B14" s="4" t="inlineStr">
        <is>
          <t>PN (Preferenciais)</t>
        </is>
      </c>
      <c r="C14" s="7" t="n">
        <v>25000000</v>
      </c>
      <c r="D14" s="8" t="n">
        <v>0.15</v>
      </c>
      <c r="E14" s="8">
        <f>C14*D14</f>
        <v/>
      </c>
      <c r="F14" s="8">
        <f>E14*0.15</f>
        <v/>
      </c>
      <c r="G14" s="5" t="inlineStr">
        <is>
          <t>Acumulado em Atraso</t>
        </is>
      </c>
    </row>
    <row r="15">
      <c r="A15" s="4" t="inlineStr">
        <is>
          <t>Set/26</t>
        </is>
      </c>
      <c r="B15" s="4" t="inlineStr">
        <is>
          <t>ON (Com Direito a Voto)</t>
        </is>
      </c>
      <c r="C15" s="7" t="n">
        <v>15000000</v>
      </c>
      <c r="D15" s="8" t="n">
        <v>0.12</v>
      </c>
      <c r="E15" s="8">
        <f>C15*D15</f>
        <v/>
      </c>
      <c r="F15" s="8">
        <f>E15*0.15</f>
        <v/>
      </c>
      <c r="G15" s="5" t="inlineStr">
        <is>
          <t>Suspenso p/ Reestruturação</t>
        </is>
      </c>
    </row>
    <row r="16">
      <c r="A16" s="4" t="inlineStr">
        <is>
          <t>Out/26</t>
        </is>
      </c>
      <c r="B16" s="4" t="inlineStr">
        <is>
          <t>PN (Preferenciais)</t>
        </is>
      </c>
      <c r="C16" s="7" t="n">
        <v>25000000</v>
      </c>
      <c r="D16" s="8" t="n">
        <v>0.15</v>
      </c>
      <c r="E16" s="8">
        <f>C16*D16</f>
        <v/>
      </c>
      <c r="F16" s="8">
        <f>E16*0.15</f>
        <v/>
      </c>
      <c r="G16" s="5" t="inlineStr">
        <is>
          <t>Exigência Judicial dos Minoritários</t>
        </is>
      </c>
    </row>
    <row r="17">
      <c r="D17" s="10" t="inlineStr">
        <is>
          <t>TOTAL DIVIDENDOS/JCP ACUMULADOS EM ATRASO:</t>
        </is>
      </c>
      <c r="E17" s="11">
        <f>SUM(E5:E16)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2026-10-15T20:54:07Z</dcterms:created>
  <dcterms:modified xmlns:dcterms="http://purl.org/dc/terms/" xmlns:xsi="http://www.w3.org/2001/XMLSchema-instance" xsi:type="dcterms:W3CDTF">2026-10-15T20:54:07Z</dcterms:modified>
</cp:coreProperties>
</file>